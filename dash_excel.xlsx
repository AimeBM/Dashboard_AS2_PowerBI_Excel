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hakounte\Documents\Blanchard\Tableau de bord\"/>
    </mc:Choice>
  </mc:AlternateContent>
  <xr:revisionPtr revIDLastSave="0" documentId="13_ncr:1_{3E0CA2DF-9100-4190-BEFA-C370A59AE8AA}" xr6:coauthVersionLast="47" xr6:coauthVersionMax="47" xr10:uidLastSave="{00000000-0000-0000-0000-000000000000}"/>
  <bookViews>
    <workbookView xWindow="0" yWindow="0" windowWidth="23040" windowHeight="12360" xr2:uid="{7E38ED72-440B-4DF0-90AF-2F049CEF07A9}"/>
  </bookViews>
  <sheets>
    <sheet name="Dashboard" sheetId="1" r:id="rId1"/>
    <sheet name="Base_ventes" sheetId="8" r:id="rId2"/>
    <sheet name="Calcul" sheetId="9" r:id="rId3"/>
  </sheets>
  <definedNames>
    <definedName name="DonnéesExternes_1" localSheetId="1" hidden="1">Base_ventes!$A$1:$N$528</definedName>
    <definedName name="Segment_Année">#N/A</definedName>
    <definedName name="Segment_BD_2.CATEGORY">#N/A</definedName>
    <definedName name="Segment_BD_2.PRODUCT">#N/A</definedName>
    <definedName name="Segment_Mois">#N/A</definedName>
    <definedName name="Segment_PAYMENT_MODE">#N/A</definedName>
    <definedName name="Segment_SALE_TYPE">#N/A</definedName>
  </definedNames>
  <calcPr calcId="18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8" l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O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P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Q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M5" i="9"/>
  <c r="M4" i="9" s="1"/>
  <c r="D25" i="9"/>
  <c r="D24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DF21A9-0DA4-4A4E-8889-3F6E78D05A7B}" keepAlive="1" name="Requête - Base_ventes" description="Connexion à la requête « Base_ventes » dans le classeur." type="5" refreshedVersion="8" background="1" saveData="1">
    <dbPr connection="Provider=Microsoft.Mashup.OleDb.1;Data Source=$Workbook$;Location=Base_ventes;Extended Properties=&quot;&quot;" command="SELECT * FROM [Base_ventes]"/>
  </connection>
  <connection id="2" xr16:uid="{5B67A310-9337-4B45-8855-33D6A53A80BA}" keepAlive="1" name="Requête - BD_2" description="Connexion à la requête « BD_2 » dans le classeur." type="5" refreshedVersion="8" background="1" saveData="1">
    <dbPr connection="Provider=Microsoft.Mashup.OleDb.1;Data Source=$Workbook$;Location=BD_2;Extended Properties=&quot;&quot;" command="SELECT * FROM [BD_2]"/>
  </connection>
</connections>
</file>

<file path=xl/sharedStrings.xml><?xml version="1.0" encoding="utf-8"?>
<sst xmlns="http://schemas.openxmlformats.org/spreadsheetml/2006/main" count="3275" uniqueCount="148">
  <si>
    <t>PRODUCT ID</t>
  </si>
  <si>
    <t>P0001</t>
  </si>
  <si>
    <t>Product01</t>
  </si>
  <si>
    <t>Category01</t>
  </si>
  <si>
    <t>Kg</t>
  </si>
  <si>
    <t>P0002</t>
  </si>
  <si>
    <t>Product02</t>
  </si>
  <si>
    <t>P0003</t>
  </si>
  <si>
    <t>Product03</t>
  </si>
  <si>
    <t>P0004</t>
  </si>
  <si>
    <t>Product04</t>
  </si>
  <si>
    <t>Lt</t>
  </si>
  <si>
    <t>P0005</t>
  </si>
  <si>
    <t>Product05</t>
  </si>
  <si>
    <t>Ft</t>
  </si>
  <si>
    <t>P0006</t>
  </si>
  <si>
    <t>Product06</t>
  </si>
  <si>
    <t>P0007</t>
  </si>
  <si>
    <t>Product07</t>
  </si>
  <si>
    <t>P0008</t>
  </si>
  <si>
    <t>Product08</t>
  </si>
  <si>
    <t>P0009</t>
  </si>
  <si>
    <t>Product09</t>
  </si>
  <si>
    <t>No.</t>
  </si>
  <si>
    <t>P0010</t>
  </si>
  <si>
    <t>Product10</t>
  </si>
  <si>
    <t>Category02</t>
  </si>
  <si>
    <t>P0011</t>
  </si>
  <si>
    <t>Product11</t>
  </si>
  <si>
    <t>P0012</t>
  </si>
  <si>
    <t>Product12</t>
  </si>
  <si>
    <t>P0013</t>
  </si>
  <si>
    <t>Product13</t>
  </si>
  <si>
    <t>P0014</t>
  </si>
  <si>
    <t>Product14</t>
  </si>
  <si>
    <t>P0015</t>
  </si>
  <si>
    <t>Product15</t>
  </si>
  <si>
    <t>P0016</t>
  </si>
  <si>
    <t>Product16</t>
  </si>
  <si>
    <t>P0017</t>
  </si>
  <si>
    <t>Product17</t>
  </si>
  <si>
    <t>P0018</t>
  </si>
  <si>
    <t>Product18</t>
  </si>
  <si>
    <t>P0019</t>
  </si>
  <si>
    <t>Product19</t>
  </si>
  <si>
    <t>P0020</t>
  </si>
  <si>
    <t>Product20</t>
  </si>
  <si>
    <t>Category03</t>
  </si>
  <si>
    <t>P0021</t>
  </si>
  <si>
    <t>Product21</t>
  </si>
  <si>
    <t>P0022</t>
  </si>
  <si>
    <t>Product22</t>
  </si>
  <si>
    <t>P0023</t>
  </si>
  <si>
    <t>Product23</t>
  </si>
  <si>
    <t>P0024</t>
  </si>
  <si>
    <t>Product24</t>
  </si>
  <si>
    <t>P0025</t>
  </si>
  <si>
    <t>Product25</t>
  </si>
  <si>
    <t>P0026</t>
  </si>
  <si>
    <t>Product26</t>
  </si>
  <si>
    <t>Category04</t>
  </si>
  <si>
    <t>P0027</t>
  </si>
  <si>
    <t>Product27</t>
  </si>
  <si>
    <t>P0028</t>
  </si>
  <si>
    <t>Product28</t>
  </si>
  <si>
    <t>P0029</t>
  </si>
  <si>
    <t>Product29</t>
  </si>
  <si>
    <t>P0030</t>
  </si>
  <si>
    <t>Product30</t>
  </si>
  <si>
    <t>P0031</t>
  </si>
  <si>
    <t>Product31</t>
  </si>
  <si>
    <t>DATE</t>
  </si>
  <si>
    <t>QUANTITY</t>
  </si>
  <si>
    <t>SALE TYPE</t>
  </si>
  <si>
    <t>PAYMENT MODE</t>
  </si>
  <si>
    <t>DISCOUNT %</t>
  </si>
  <si>
    <t>BD_2.PRODUCT</t>
  </si>
  <si>
    <t>BD_2.CATEGORY</t>
  </si>
  <si>
    <t>BD_2.MESURE</t>
  </si>
  <si>
    <t>BD_2.BUYING PRIZE</t>
  </si>
  <si>
    <t>BD_2.SELLING PRICE</t>
  </si>
  <si>
    <t>Wholesaler</t>
  </si>
  <si>
    <t>Online</t>
  </si>
  <si>
    <t>P0038</t>
  </si>
  <si>
    <t>Cash</t>
  </si>
  <si>
    <t>Product38</t>
  </si>
  <si>
    <t>Category05</t>
  </si>
  <si>
    <t>Direct Sales</t>
  </si>
  <si>
    <t>P0035</t>
  </si>
  <si>
    <t>Product35</t>
  </si>
  <si>
    <t>P0032</t>
  </si>
  <si>
    <t>Product32</t>
  </si>
  <si>
    <t>P0033</t>
  </si>
  <si>
    <t>Product33</t>
  </si>
  <si>
    <t>P0034</t>
  </si>
  <si>
    <t>Product34</t>
  </si>
  <si>
    <t>P0036</t>
  </si>
  <si>
    <t>Product36</t>
  </si>
  <si>
    <t>P0037</t>
  </si>
  <si>
    <t>Product37</t>
  </si>
  <si>
    <t>P0039</t>
  </si>
  <si>
    <t>Product39</t>
  </si>
  <si>
    <t>P0040</t>
  </si>
  <si>
    <t>Product40</t>
  </si>
  <si>
    <t>P0041</t>
  </si>
  <si>
    <t>Product41</t>
  </si>
  <si>
    <t>P0042</t>
  </si>
  <si>
    <t>Product42</t>
  </si>
  <si>
    <t>P0043</t>
  </si>
  <si>
    <t>Product43</t>
  </si>
  <si>
    <t>P0044</t>
  </si>
  <si>
    <t>Product44</t>
  </si>
  <si>
    <t>Montant Vendu</t>
  </si>
  <si>
    <t>Montant Acheté</t>
  </si>
  <si>
    <t>Benefice</t>
  </si>
  <si>
    <t>PERFORMANCE GENERALE</t>
  </si>
  <si>
    <t>RENTABILITE</t>
  </si>
  <si>
    <t>ANALYSE DES PRODUITS</t>
  </si>
  <si>
    <t>CYCLE DE VENTE</t>
  </si>
  <si>
    <t>PERFORMANCE DE VENTE</t>
  </si>
  <si>
    <t>Étiquettes de lignes</t>
  </si>
  <si>
    <t>Total général</t>
  </si>
  <si>
    <t>Somme de Montant Vendu</t>
  </si>
  <si>
    <t>Année</t>
  </si>
  <si>
    <t>Mois</t>
  </si>
  <si>
    <t>Mois num</t>
  </si>
  <si>
    <t>CA</t>
  </si>
  <si>
    <t>Panier Moyen</t>
  </si>
  <si>
    <t>Valeurs</t>
  </si>
  <si>
    <t>Taux de croissance</t>
  </si>
  <si>
    <t>Coût d'achat</t>
  </si>
  <si>
    <t>Bénefice</t>
  </si>
  <si>
    <t>Moyenne de DISCOUNT %</t>
  </si>
  <si>
    <t>Nombre de PAYMENT MODE</t>
  </si>
  <si>
    <t>Nombre de BD_2.MESURE</t>
  </si>
  <si>
    <t>Somme de QUANTITY</t>
  </si>
  <si>
    <t>Nombre de Transaction</t>
  </si>
  <si>
    <t>Chiffre d'Afaire</t>
  </si>
  <si>
    <t xml:space="preserve"> Benefice</t>
  </si>
  <si>
    <t>Contribution Categorie</t>
  </si>
  <si>
    <t>Contrib Produit</t>
  </si>
  <si>
    <t>Cout d'achat</t>
  </si>
  <si>
    <t>taux</t>
  </si>
  <si>
    <t>res</t>
  </si>
  <si>
    <t>Remise</t>
  </si>
  <si>
    <t>Gain</t>
  </si>
  <si>
    <t>Contribution</t>
  </si>
  <si>
    <t>Transaction de 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</si>
</sst>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* #,##0.00\ [$€-40C]_-;\-* #,##0.00\ [$€-40C]_-;_-* &quot;-&quot;??\ [$€-40C]_-;_-@_-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ooper Black"/>
      <family val="1"/>
    </font>
    <font>
      <sz val="12"/>
      <color theme="0"/>
      <name val="Cooper Black"/>
      <family val="1"/>
    </font>
    <font>
      <sz val="14"/>
      <color theme="4"/>
      <name val="Cooper Black"/>
      <family val="1"/>
    </font>
    <font>
      <sz val="12"/>
      <color theme="4"/>
      <name val="Cooper Black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4"/>
      </bottom>
      <diagonal/>
    </border>
    <border>
      <left style="dashed">
        <color theme="4"/>
      </left>
      <right/>
      <top/>
      <bottom/>
      <diagonal/>
    </border>
    <border>
      <left/>
      <right style="dashed">
        <color theme="4"/>
      </right>
      <top/>
      <bottom/>
      <diagonal/>
    </border>
    <border>
      <left style="dashed">
        <color theme="4"/>
      </left>
      <right style="slantDashDot">
        <color theme="4"/>
      </right>
      <top style="dashed">
        <color theme="4"/>
      </top>
      <bottom/>
      <diagonal/>
    </border>
    <border>
      <left style="dashed">
        <color theme="4"/>
      </left>
      <right style="slantDashDot">
        <color theme="4"/>
      </right>
      <top/>
      <bottom/>
      <diagonal/>
    </border>
    <border>
      <left style="slantDashDot">
        <color theme="4"/>
      </left>
      <right style="dashed">
        <color theme="4"/>
      </right>
      <top style="dashed">
        <color theme="4"/>
      </top>
      <bottom/>
      <diagonal/>
    </border>
    <border>
      <left style="slantDashDot">
        <color theme="4"/>
      </left>
      <right style="dashed">
        <color theme="4"/>
      </right>
      <top/>
      <bottom/>
      <diagonal/>
    </border>
    <border>
      <left style="dashed">
        <color theme="4"/>
      </left>
      <right/>
      <top/>
      <bottom style="thick">
        <color theme="4"/>
      </bottom>
      <diagonal/>
    </border>
    <border>
      <left/>
      <right style="dashed">
        <color theme="4"/>
      </right>
      <top/>
      <bottom style="thick">
        <color theme="4"/>
      </bottom>
      <diagonal/>
    </border>
    <border>
      <left style="dashed">
        <color theme="4"/>
      </left>
      <right style="slantDashDot">
        <color theme="4"/>
      </right>
      <top/>
      <bottom style="thick">
        <color theme="4"/>
      </bottom>
      <diagonal/>
    </border>
    <border>
      <left style="slantDashDot">
        <color theme="4"/>
      </left>
      <right style="dashed">
        <color theme="4"/>
      </right>
      <top/>
      <bottom style="thick">
        <color theme="4"/>
      </bottom>
      <diagonal/>
    </border>
    <border>
      <left style="dashed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dashed">
        <color theme="4"/>
      </right>
      <top style="thick">
        <color theme="4"/>
      </top>
      <bottom/>
      <diagonal/>
    </border>
    <border>
      <left/>
      <right style="medium">
        <color theme="4"/>
      </right>
      <top style="thick">
        <color theme="4"/>
      </top>
      <bottom/>
      <diagonal/>
    </border>
    <border>
      <left/>
      <right style="medium">
        <color theme="4"/>
      </right>
      <top/>
      <bottom style="thick">
        <color theme="4"/>
      </bottom>
      <diagonal/>
    </border>
    <border>
      <left style="medium">
        <color theme="4"/>
      </left>
      <right/>
      <top style="thick">
        <color theme="4"/>
      </top>
      <bottom/>
      <diagonal/>
    </border>
    <border>
      <left style="medium">
        <color theme="4"/>
      </left>
      <right/>
      <top/>
      <bottom style="thick">
        <color theme="4"/>
      </bottom>
      <diagonal/>
    </border>
  </borders>
  <cellStyleXfs count="1">
    <xf numFmtId="0" fontId="0" fillId="0" borderId="0"/>
  </cellStyleXfs>
  <cellXfs count="40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" fillId="2" borderId="0" xfId="0" applyFont="1" applyFill="1"/>
    <xf numFmtId="0" fontId="0" fillId="2" borderId="9" xfId="0" applyFill="1" applyBorder="1"/>
    <xf numFmtId="0" fontId="0" fillId="2" borderId="1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4" fontId="0" fillId="0" borderId="0" xfId="0" applyNumberFormat="1" applyAlignment="1">
      <alignment horizontal="left"/>
    </xf>
    <xf numFmtId="2" fontId="0" fillId="0" borderId="0" xfId="0" applyNumberFormat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15">
    <dxf>
      <numFmt numFmtId="166" formatCode="_-* #,##0.00\ [$€-40C]_-;\-* #,##0.00\ [$€-40C]_-;_-* &quot;-&quot;??\ [$€-40C]_-;_-@_-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theme" Target="theme/theme1.xml"/><Relationship Id="rId5" Type="http://schemas.microsoft.com/office/2007/relationships/slicerCache" Target="slicerCaches/slicerCache1.xml"/><Relationship Id="rId15" Type="http://schemas.openxmlformats.org/officeDocument/2006/relationships/calcChain" Target="calcChain.xml"/><Relationship Id="rId10" Type="http://schemas.microsoft.com/office/2007/relationships/slicerCache" Target="slicerCaches/slicerCache6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1893849353736445"/>
          <c:y val="8.0906148867313912E-2"/>
          <c:w val="0.35677024746906638"/>
          <c:h val="0.8686579938377267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DB-4AE4-9DED-A23F5CE07DD8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DB-4AE4-9DED-A23F5CE07DD8}"/>
              </c:ext>
            </c:extLst>
          </c:dPt>
          <c:cat>
            <c:strRef>
              <c:f>Calcul!$L$4:$L$5</c:f>
              <c:strCache>
                <c:ptCount val="2"/>
                <c:pt idx="0">
                  <c:v>res</c:v>
                </c:pt>
                <c:pt idx="1">
                  <c:v>taux</c:v>
                </c:pt>
              </c:strCache>
            </c:strRef>
          </c:cat>
          <c:val>
            <c:numRef>
              <c:f>Calcul!$M$4:$M$5</c:f>
              <c:numCache>
                <c:formatCode>0.00%</c:formatCode>
                <c:ptCount val="2"/>
                <c:pt idx="0">
                  <c:v>0.85667096957182509</c:v>
                </c:pt>
                <c:pt idx="1">
                  <c:v>0.14332903042817485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DB-4AE4-9DED-A23F5CE07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41893849353736445"/>
          <c:y val="8.0906148867313912E-2"/>
          <c:w val="0.35677024746906638"/>
          <c:h val="0.86865799383772679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dPt>
            <c:idx val="0"/>
            <c:bubble3D val="0"/>
            <c:spPr>
              <a:noFill/>
              <a:ln w="25400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54-423D-8874-68CC076C5FB0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54-423D-8874-68CC076C5FB0}"/>
              </c:ext>
            </c:extLst>
          </c:dPt>
          <c:cat>
            <c:strRef>
              <c:f>Calcul!$C$24:$C$25</c:f>
              <c:strCache>
                <c:ptCount val="2"/>
                <c:pt idx="0">
                  <c:v>Gain</c:v>
                </c:pt>
                <c:pt idx="1">
                  <c:v>Remise</c:v>
                </c:pt>
              </c:strCache>
            </c:strRef>
          </c:cat>
          <c:val>
            <c:numRef>
              <c:f>Calcul!$D$24:$D$25</c:f>
              <c:numCache>
                <c:formatCode>0.00</c:formatCode>
                <c:ptCount val="2"/>
                <c:pt idx="0">
                  <c:v>65.642857142857139</c:v>
                </c:pt>
                <c:pt idx="1">
                  <c:v>34.357142857142854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54-423D-8874-68CC076C5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[Aimé_Blanchard_MISSONGO_AS2B.xlsx]Calcul!Tableau croisé dynamique5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28241050985648"/>
          <c:y val="3.7313432835820892E-2"/>
          <c:w val="0.53878441391634546"/>
          <c:h val="0.755906491166216"/>
        </c:manualLayout>
      </c:layout>
      <c:pieChart>
        <c:varyColors val="1"/>
        <c:ser>
          <c:idx val="0"/>
          <c:order val="0"/>
          <c:tx>
            <c:strRef>
              <c:f>Calcul!$V$3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00-494F-A38F-00E738CD3E5B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00-494F-A38F-00E738CD3E5B}"/>
              </c:ext>
            </c:extLst>
          </c:dPt>
          <c:dPt>
            <c:idx val="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00-494F-A38F-00E738CD3E5B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00-494F-A38F-00E738CD3E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Calcul!$U$4:$U$7</c:f>
              <c:strCache>
                <c:ptCount val="4"/>
                <c:pt idx="0">
                  <c:v>Category01</c:v>
                </c:pt>
                <c:pt idx="1">
                  <c:v>Category02</c:v>
                </c:pt>
                <c:pt idx="2">
                  <c:v>Category04</c:v>
                </c:pt>
                <c:pt idx="3">
                  <c:v>Category05</c:v>
                </c:pt>
              </c:strCache>
            </c:strRef>
          </c:cat>
          <c:val>
            <c:numRef>
              <c:f>Calcul!$V$4:$V$7</c:f>
              <c:numCache>
                <c:formatCode>0.00%</c:formatCode>
                <c:ptCount val="4"/>
                <c:pt idx="0">
                  <c:v>0.20532380977788817</c:v>
                </c:pt>
                <c:pt idx="1">
                  <c:v>0.27621836192170174</c:v>
                </c:pt>
                <c:pt idx="2">
                  <c:v>0.27902263262587218</c:v>
                </c:pt>
                <c:pt idx="3">
                  <c:v>0.23943519567453783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00-494F-A38F-00E738CD3E5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913238452145355"/>
          <c:y val="0.76869923739847479"/>
          <c:w val="0.73086762994831833"/>
          <c:h val="0.110729121458242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[Aimé_Blanchard_MISSONGO_AS2B.xlsx]Calcul!Tableau croisé dynamique7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0848126232741617"/>
              <c:y val="-4.83091787439613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1176857330703485"/>
              <c:y val="-1.4492753623188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Calcul!$B$28</c:f>
              <c:strCache>
                <c:ptCount val="1"/>
                <c:pt idx="0">
                  <c:v>Contribution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Calcul!$A$29:$A$31</c:f>
              <c:strCache>
                <c:ptCount val="3"/>
                <c:pt idx="0">
                  <c:v>Direct Sales</c:v>
                </c:pt>
                <c:pt idx="1">
                  <c:v>Online</c:v>
                </c:pt>
                <c:pt idx="2">
                  <c:v>Wholesaler</c:v>
                </c:pt>
              </c:strCache>
            </c:strRef>
          </c:cat>
          <c:val>
            <c:numRef>
              <c:f>Calcul!$B$29:$B$31</c:f>
              <c:numCache>
                <c:formatCode>0.00%</c:formatCode>
                <c:ptCount val="3"/>
                <c:pt idx="0">
                  <c:v>0.57425742574257421</c:v>
                </c:pt>
                <c:pt idx="1">
                  <c:v>0.2277227722772277</c:v>
                </c:pt>
                <c:pt idx="2">
                  <c:v>0.198019801980198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7D7-4032-A74D-6A5690A362A0}"/>
            </c:ext>
          </c:extLst>
        </c:ser>
        <c:ser>
          <c:idx val="1"/>
          <c:order val="1"/>
          <c:tx>
            <c:strRef>
              <c:f>Calcul!$C$28</c:f>
              <c:strCache>
                <c:ptCount val="1"/>
                <c:pt idx="0">
                  <c:v>Transaction de Vente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EC4-41BA-9FE1-E8310FF9F2A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C4-41BA-9FE1-E8310FF9F2A1}"/>
              </c:ext>
            </c:extLst>
          </c:dPt>
          <c:dLbls>
            <c:dLbl>
              <c:idx val="0"/>
              <c:layout>
                <c:manualLayout>
                  <c:x val="0.11176857330703485"/>
                  <c:y val="-1.449275362318840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EC4-41BA-9FE1-E8310FF9F2A1}"/>
                </c:ext>
              </c:extLst>
            </c:dLbl>
            <c:dLbl>
              <c:idx val="1"/>
              <c:layout>
                <c:manualLayout>
                  <c:x val="0.10848126232741617"/>
                  <c:y val="-4.83091787439613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C4-41BA-9FE1-E8310FF9F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Calcul!$A$29:$A$31</c:f>
              <c:strCache>
                <c:ptCount val="3"/>
                <c:pt idx="0">
                  <c:v>Direct Sales</c:v>
                </c:pt>
                <c:pt idx="1">
                  <c:v>Online</c:v>
                </c:pt>
                <c:pt idx="2">
                  <c:v>Wholesaler</c:v>
                </c:pt>
              </c:strCache>
            </c:strRef>
          </c:cat>
          <c:val>
            <c:numRef>
              <c:f>Calcul!$C$29:$C$31</c:f>
              <c:numCache>
                <c:formatCode>0.00%</c:formatCode>
                <c:ptCount val="3"/>
                <c:pt idx="0">
                  <c:v>0.5714285714285714</c:v>
                </c:pt>
                <c:pt idx="1">
                  <c:v>0.21428571428571427</c:v>
                </c:pt>
                <c:pt idx="2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7D7-4032-A74D-6A5690A362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9420896"/>
        <c:axId val="329423296"/>
      </c:barChart>
      <c:catAx>
        <c:axId val="32942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9423296"/>
        <c:crosses val="autoZero"/>
        <c:auto val="1"/>
        <c:lblAlgn val="ctr"/>
        <c:lblOffset val="100"/>
        <c:noMultiLvlLbl val="0"/>
      </c:catAx>
      <c:valAx>
        <c:axId val="32942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942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[Aimé_Blanchard_MISSONGO_AS2B.xlsx]Calcul!Tableau croisé dynamique8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Calcul!$AB$3</c:f>
              <c:strCache>
                <c:ptCount val="1"/>
                <c:pt idx="0">
                  <c:v>Nombre de PAYMENT MODE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Calcul!$AA$4:$AA$5</c:f>
              <c:strCache>
                <c:ptCount val="2"/>
                <c:pt idx="0">
                  <c:v>Cash</c:v>
                </c:pt>
                <c:pt idx="1">
                  <c:v>Online</c:v>
                </c:pt>
              </c:strCache>
            </c:strRef>
          </c:cat>
          <c:val>
            <c:numRef>
              <c:f>Calcul!$AB$4:$AB$5</c:f>
              <c:numCache>
                <c:formatCode>0.00%</c:formatCode>
                <c:ptCount val="2"/>
                <c:pt idx="0">
                  <c:v>0.6428571428571429</c:v>
                </c:pt>
                <c:pt idx="1">
                  <c:v>0.35714285714285715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3BB-4373-931B-5B45D72D8025}"/>
            </c:ext>
          </c:extLst>
        </c:ser>
        <c:ser>
          <c:idx val="1"/>
          <c:order val="1"/>
          <c:tx>
            <c:strRef>
              <c:f>Calcul!$AC$3</c:f>
              <c:strCache>
                <c:ptCount val="1"/>
                <c:pt idx="0">
                  <c:v>Somme de Montant Vendu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Calcul!$AA$4:$AA$5</c:f>
              <c:strCache>
                <c:ptCount val="2"/>
                <c:pt idx="0">
                  <c:v>Cash</c:v>
                </c:pt>
                <c:pt idx="1">
                  <c:v>Online</c:v>
                </c:pt>
              </c:strCache>
            </c:strRef>
          </c:cat>
          <c:val>
            <c:numRef>
              <c:f>Calcul!$AC$4:$AC$5</c:f>
              <c:numCache>
                <c:formatCode>0.00%</c:formatCode>
                <c:ptCount val="2"/>
                <c:pt idx="0">
                  <c:v>0.59405940594059414</c:v>
                </c:pt>
                <c:pt idx="1">
                  <c:v>0.40594059405940602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3BB-4373-931B-5B45D72D80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1205664"/>
        <c:axId val="941202304"/>
      </c:barChart>
      <c:catAx>
        <c:axId val="94120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1202304"/>
        <c:crosses val="autoZero"/>
        <c:auto val="1"/>
        <c:lblAlgn val="ctr"/>
        <c:lblOffset val="100"/>
        <c:noMultiLvlLbl val="0"/>
      </c:catAx>
      <c:valAx>
        <c:axId val="94120230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120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[Aimé_Blanchard_MISSONGO_AS2B.xlsx]Calcul!Tableau croisé dynamique4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lumMod val="5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Calcul!$Q$3</c:f>
              <c:strCache>
                <c:ptCount val="1"/>
                <c:pt idx="0">
                  <c:v>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Calcul!$P$4:$P$196</c:f>
              <c:strCache>
                <c:ptCount val="192"/>
                <c:pt idx="0">
                  <c:v>01/01/2022</c:v>
                </c:pt>
                <c:pt idx="1">
                  <c:v>02/01/2022</c:v>
                </c:pt>
                <c:pt idx="2">
                  <c:v>03/01/2022</c:v>
                </c:pt>
                <c:pt idx="3">
                  <c:v>04/01/2022</c:v>
                </c:pt>
                <c:pt idx="4">
                  <c:v>09/01/2022</c:v>
                </c:pt>
                <c:pt idx="5">
                  <c:v>10/01/2022</c:v>
                </c:pt>
                <c:pt idx="6">
                  <c:v>11/01/2022</c:v>
                </c:pt>
                <c:pt idx="7">
                  <c:v>13/01/2022</c:v>
                </c:pt>
                <c:pt idx="8">
                  <c:v>14/01/2022</c:v>
                </c:pt>
                <c:pt idx="9">
                  <c:v>15/01/2022</c:v>
                </c:pt>
                <c:pt idx="10">
                  <c:v>16/01/2022</c:v>
                </c:pt>
                <c:pt idx="11">
                  <c:v>17/01/2022</c:v>
                </c:pt>
                <c:pt idx="12">
                  <c:v>18/01/2022</c:v>
                </c:pt>
                <c:pt idx="13">
                  <c:v>20/01/2022</c:v>
                </c:pt>
                <c:pt idx="14">
                  <c:v>22/01/2022</c:v>
                </c:pt>
                <c:pt idx="15">
                  <c:v>23/01/2022</c:v>
                </c:pt>
                <c:pt idx="16">
                  <c:v>24/01/2022</c:v>
                </c:pt>
                <c:pt idx="17">
                  <c:v>25/01/2022</c:v>
                </c:pt>
                <c:pt idx="18">
                  <c:v>28/01/2022</c:v>
                </c:pt>
                <c:pt idx="19">
                  <c:v>31/01/2022</c:v>
                </c:pt>
                <c:pt idx="20">
                  <c:v>01/02/2022</c:v>
                </c:pt>
                <c:pt idx="21">
                  <c:v>03/02/2022</c:v>
                </c:pt>
                <c:pt idx="22">
                  <c:v>05/02/2022</c:v>
                </c:pt>
                <c:pt idx="23">
                  <c:v>06/02/2022</c:v>
                </c:pt>
                <c:pt idx="24">
                  <c:v>08/02/2022</c:v>
                </c:pt>
                <c:pt idx="25">
                  <c:v>09/02/2022</c:v>
                </c:pt>
                <c:pt idx="26">
                  <c:v>12/02/2022</c:v>
                </c:pt>
                <c:pt idx="27">
                  <c:v>14/02/2022</c:v>
                </c:pt>
                <c:pt idx="28">
                  <c:v>16/02/2022</c:v>
                </c:pt>
                <c:pt idx="29">
                  <c:v>19/02/2022</c:v>
                </c:pt>
                <c:pt idx="30">
                  <c:v>20/02/2022</c:v>
                </c:pt>
                <c:pt idx="31">
                  <c:v>23/02/2022</c:v>
                </c:pt>
                <c:pt idx="32">
                  <c:v>27/02/2022</c:v>
                </c:pt>
                <c:pt idx="33">
                  <c:v>28/02/2022</c:v>
                </c:pt>
                <c:pt idx="34">
                  <c:v>04/03/2022</c:v>
                </c:pt>
                <c:pt idx="35">
                  <c:v>06/03/2022</c:v>
                </c:pt>
                <c:pt idx="36">
                  <c:v>07/03/2022</c:v>
                </c:pt>
                <c:pt idx="37">
                  <c:v>08/03/2022</c:v>
                </c:pt>
                <c:pt idx="38">
                  <c:v>09/03/2022</c:v>
                </c:pt>
                <c:pt idx="39">
                  <c:v>10/03/2022</c:v>
                </c:pt>
                <c:pt idx="40">
                  <c:v>14/03/2022</c:v>
                </c:pt>
                <c:pt idx="41">
                  <c:v>18/03/2022</c:v>
                </c:pt>
                <c:pt idx="42">
                  <c:v>19/03/2022</c:v>
                </c:pt>
                <c:pt idx="43">
                  <c:v>23/03/2022</c:v>
                </c:pt>
                <c:pt idx="44">
                  <c:v>25/03/2022</c:v>
                </c:pt>
                <c:pt idx="45">
                  <c:v>29/03/2022</c:v>
                </c:pt>
                <c:pt idx="46">
                  <c:v>30/03/2022</c:v>
                </c:pt>
                <c:pt idx="47">
                  <c:v>01/04/2022</c:v>
                </c:pt>
                <c:pt idx="48">
                  <c:v>02/04/2022</c:v>
                </c:pt>
                <c:pt idx="49">
                  <c:v>06/04/2022</c:v>
                </c:pt>
                <c:pt idx="50">
                  <c:v>07/04/2022</c:v>
                </c:pt>
                <c:pt idx="51">
                  <c:v>09/04/2022</c:v>
                </c:pt>
                <c:pt idx="52">
                  <c:v>13/04/2022</c:v>
                </c:pt>
                <c:pt idx="53">
                  <c:v>18/04/2022</c:v>
                </c:pt>
                <c:pt idx="54">
                  <c:v>20/04/2022</c:v>
                </c:pt>
                <c:pt idx="55">
                  <c:v>21/04/2022</c:v>
                </c:pt>
                <c:pt idx="56">
                  <c:v>23/04/2022</c:v>
                </c:pt>
                <c:pt idx="57">
                  <c:v>24/04/2022</c:v>
                </c:pt>
                <c:pt idx="58">
                  <c:v>25/04/2022</c:v>
                </c:pt>
                <c:pt idx="59">
                  <c:v>26/04/2022</c:v>
                </c:pt>
                <c:pt idx="60">
                  <c:v>28/04/2022</c:v>
                </c:pt>
                <c:pt idx="61">
                  <c:v>30/04/2022</c:v>
                </c:pt>
                <c:pt idx="62">
                  <c:v>01/05/2022</c:v>
                </c:pt>
                <c:pt idx="63">
                  <c:v>02/05/2022</c:v>
                </c:pt>
                <c:pt idx="64">
                  <c:v>04/05/2022</c:v>
                </c:pt>
                <c:pt idx="65">
                  <c:v>06/05/2022</c:v>
                </c:pt>
                <c:pt idx="66">
                  <c:v>07/05/2022</c:v>
                </c:pt>
                <c:pt idx="67">
                  <c:v>08/05/2022</c:v>
                </c:pt>
                <c:pt idx="68">
                  <c:v>09/05/2022</c:v>
                </c:pt>
                <c:pt idx="69">
                  <c:v>10/05/2022</c:v>
                </c:pt>
                <c:pt idx="70">
                  <c:v>12/05/2022</c:v>
                </c:pt>
                <c:pt idx="71">
                  <c:v>13/05/2022</c:v>
                </c:pt>
                <c:pt idx="72">
                  <c:v>14/05/2022</c:v>
                </c:pt>
                <c:pt idx="73">
                  <c:v>15/05/2022</c:v>
                </c:pt>
                <c:pt idx="74">
                  <c:v>16/05/2022</c:v>
                </c:pt>
                <c:pt idx="75">
                  <c:v>17/05/2022</c:v>
                </c:pt>
                <c:pt idx="76">
                  <c:v>18/05/2022</c:v>
                </c:pt>
                <c:pt idx="77">
                  <c:v>20/05/2022</c:v>
                </c:pt>
                <c:pt idx="78">
                  <c:v>22/05/2022</c:v>
                </c:pt>
                <c:pt idx="79">
                  <c:v>25/05/2022</c:v>
                </c:pt>
                <c:pt idx="80">
                  <c:v>26/05/2022</c:v>
                </c:pt>
                <c:pt idx="81">
                  <c:v>28/05/2022</c:v>
                </c:pt>
                <c:pt idx="82">
                  <c:v>30/05/2022</c:v>
                </c:pt>
                <c:pt idx="83">
                  <c:v>03/06/2022</c:v>
                </c:pt>
                <c:pt idx="84">
                  <c:v>10/06/2022</c:v>
                </c:pt>
                <c:pt idx="85">
                  <c:v>11/06/2022</c:v>
                </c:pt>
                <c:pt idx="86">
                  <c:v>13/06/2022</c:v>
                </c:pt>
                <c:pt idx="87">
                  <c:v>15/06/2022</c:v>
                </c:pt>
                <c:pt idx="88">
                  <c:v>16/06/2022</c:v>
                </c:pt>
                <c:pt idx="89">
                  <c:v>19/06/2022</c:v>
                </c:pt>
                <c:pt idx="90">
                  <c:v>21/06/2022</c:v>
                </c:pt>
                <c:pt idx="91">
                  <c:v>22/06/2022</c:v>
                </c:pt>
                <c:pt idx="92">
                  <c:v>23/06/2022</c:v>
                </c:pt>
                <c:pt idx="93">
                  <c:v>24/06/2022</c:v>
                </c:pt>
                <c:pt idx="94">
                  <c:v>25/06/2022</c:v>
                </c:pt>
                <c:pt idx="95">
                  <c:v>26/06/2022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08/07/2022</c:v>
                </c:pt>
                <c:pt idx="101">
                  <c:v>10/07/2022</c:v>
                </c:pt>
                <c:pt idx="102">
                  <c:v>12/07/2022</c:v>
                </c:pt>
                <c:pt idx="103">
                  <c:v>13/07/2022</c:v>
                </c:pt>
                <c:pt idx="104">
                  <c:v>14/07/2022</c:v>
                </c:pt>
                <c:pt idx="105">
                  <c:v>15/07/2022</c:v>
                </c:pt>
                <c:pt idx="106">
                  <c:v>17/07/2022</c:v>
                </c:pt>
                <c:pt idx="107">
                  <c:v>18/07/2022</c:v>
                </c:pt>
                <c:pt idx="108">
                  <c:v>20/07/2022</c:v>
                </c:pt>
                <c:pt idx="109">
                  <c:v>22/07/2022</c:v>
                </c:pt>
                <c:pt idx="110">
                  <c:v>23/07/2022</c:v>
                </c:pt>
                <c:pt idx="111">
                  <c:v>24/07/2022</c:v>
                </c:pt>
                <c:pt idx="112">
                  <c:v>25/07/2022</c:v>
                </c:pt>
                <c:pt idx="113">
                  <c:v>26/07/2022</c:v>
                </c:pt>
                <c:pt idx="114">
                  <c:v>03/08/2022</c:v>
                </c:pt>
                <c:pt idx="115">
                  <c:v>06/08/2022</c:v>
                </c:pt>
                <c:pt idx="116">
                  <c:v>08/08/2022</c:v>
                </c:pt>
                <c:pt idx="117">
                  <c:v>14/08/2022</c:v>
                </c:pt>
                <c:pt idx="118">
                  <c:v>15/08/2022</c:v>
                </c:pt>
                <c:pt idx="119">
                  <c:v>18/08/2022</c:v>
                </c:pt>
                <c:pt idx="120">
                  <c:v>19/08/2022</c:v>
                </c:pt>
                <c:pt idx="121">
                  <c:v>20/08/2022</c:v>
                </c:pt>
                <c:pt idx="122">
                  <c:v>21/08/2022</c:v>
                </c:pt>
                <c:pt idx="123">
                  <c:v>23/08/2022</c:v>
                </c:pt>
                <c:pt idx="124">
                  <c:v>24/08/2022</c:v>
                </c:pt>
                <c:pt idx="125">
                  <c:v>26/08/2022</c:v>
                </c:pt>
                <c:pt idx="126">
                  <c:v>27/08/2022</c:v>
                </c:pt>
                <c:pt idx="127">
                  <c:v>28/08/2022</c:v>
                </c:pt>
                <c:pt idx="128">
                  <c:v>30/08/2022</c:v>
                </c:pt>
                <c:pt idx="129">
                  <c:v>31/08/2022</c:v>
                </c:pt>
                <c:pt idx="130">
                  <c:v>04/09/2022</c:v>
                </c:pt>
                <c:pt idx="131">
                  <c:v>06/09/2022</c:v>
                </c:pt>
                <c:pt idx="132">
                  <c:v>09/09/2022</c:v>
                </c:pt>
                <c:pt idx="133">
                  <c:v>10/09/2022</c:v>
                </c:pt>
                <c:pt idx="134">
                  <c:v>14/09/2022</c:v>
                </c:pt>
                <c:pt idx="135">
                  <c:v>15/09/2022</c:v>
                </c:pt>
                <c:pt idx="136">
                  <c:v>18/09/2022</c:v>
                </c:pt>
                <c:pt idx="137">
                  <c:v>19/09/2022</c:v>
                </c:pt>
                <c:pt idx="138">
                  <c:v>20/09/2022</c:v>
                </c:pt>
                <c:pt idx="139">
                  <c:v>21/09/2022</c:v>
                </c:pt>
                <c:pt idx="140">
                  <c:v>22/09/2022</c:v>
                </c:pt>
                <c:pt idx="141">
                  <c:v>23/09/2022</c:v>
                </c:pt>
                <c:pt idx="142">
                  <c:v>24/09/2022</c:v>
                </c:pt>
                <c:pt idx="143">
                  <c:v>27/09/2022</c:v>
                </c:pt>
                <c:pt idx="144">
                  <c:v>29/09/2022</c:v>
                </c:pt>
                <c:pt idx="145">
                  <c:v>03/10/2022</c:v>
                </c:pt>
                <c:pt idx="146">
                  <c:v>04/10/2022</c:v>
                </c:pt>
                <c:pt idx="147">
                  <c:v>06/10/2022</c:v>
                </c:pt>
                <c:pt idx="148">
                  <c:v>09/10/2022</c:v>
                </c:pt>
                <c:pt idx="149">
                  <c:v>10/10/2022</c:v>
                </c:pt>
                <c:pt idx="150">
                  <c:v>11/10/2022</c:v>
                </c:pt>
                <c:pt idx="151">
                  <c:v>13/10/2022</c:v>
                </c:pt>
                <c:pt idx="152">
                  <c:v>14/10/2022</c:v>
                </c:pt>
                <c:pt idx="153">
                  <c:v>15/10/2022</c:v>
                </c:pt>
                <c:pt idx="154">
                  <c:v>16/10/2022</c:v>
                </c:pt>
                <c:pt idx="155">
                  <c:v>23/10/2022</c:v>
                </c:pt>
                <c:pt idx="156">
                  <c:v>30/10/2022</c:v>
                </c:pt>
                <c:pt idx="157">
                  <c:v>31/10/2022</c:v>
                </c:pt>
                <c:pt idx="158">
                  <c:v>01/11/2022</c:v>
                </c:pt>
                <c:pt idx="159">
                  <c:v>02/11/2022</c:v>
                </c:pt>
                <c:pt idx="160">
                  <c:v>03/11/2022</c:v>
                </c:pt>
                <c:pt idx="161">
                  <c:v>04/11/2022</c:v>
                </c:pt>
                <c:pt idx="162">
                  <c:v>05/11/2022</c:v>
                </c:pt>
                <c:pt idx="163">
                  <c:v>06/11/2022</c:v>
                </c:pt>
                <c:pt idx="164">
                  <c:v>07/11/2022</c:v>
                </c:pt>
                <c:pt idx="165">
                  <c:v>08/11/2022</c:v>
                </c:pt>
                <c:pt idx="166">
                  <c:v>09/11/2022</c:v>
                </c:pt>
                <c:pt idx="167">
                  <c:v>10/11/2022</c:v>
                </c:pt>
                <c:pt idx="168">
                  <c:v>13/11/2022</c:v>
                </c:pt>
                <c:pt idx="169">
                  <c:v>14/11/2022</c:v>
                </c:pt>
                <c:pt idx="170">
                  <c:v>15/11/2022</c:v>
                </c:pt>
                <c:pt idx="171">
                  <c:v>16/11/2022</c:v>
                </c:pt>
                <c:pt idx="172">
                  <c:v>18/11/2022</c:v>
                </c:pt>
                <c:pt idx="173">
                  <c:v>21/11/2022</c:v>
                </c:pt>
                <c:pt idx="174">
                  <c:v>23/11/2022</c:v>
                </c:pt>
                <c:pt idx="175">
                  <c:v>25/11/2022</c:v>
                </c:pt>
                <c:pt idx="176">
                  <c:v>26/11/2022</c:v>
                </c:pt>
                <c:pt idx="177">
                  <c:v>27/11/2022</c:v>
                </c:pt>
                <c:pt idx="178">
                  <c:v>28/11/2022</c:v>
                </c:pt>
                <c:pt idx="179">
                  <c:v>30/11/2022</c:v>
                </c:pt>
                <c:pt idx="180">
                  <c:v>03/12/2022</c:v>
                </c:pt>
                <c:pt idx="181">
                  <c:v>04/12/2022</c:v>
                </c:pt>
                <c:pt idx="182">
                  <c:v>07/12/2022</c:v>
                </c:pt>
                <c:pt idx="183">
                  <c:v>11/12/2022</c:v>
                </c:pt>
                <c:pt idx="184">
                  <c:v>12/12/2022</c:v>
                </c:pt>
                <c:pt idx="185">
                  <c:v>14/12/2022</c:v>
                </c:pt>
                <c:pt idx="186">
                  <c:v>15/12/2022</c:v>
                </c:pt>
                <c:pt idx="187">
                  <c:v>19/12/2022</c:v>
                </c:pt>
                <c:pt idx="188">
                  <c:v>21/12/2022</c:v>
                </c:pt>
                <c:pt idx="189">
                  <c:v>29/12/2022</c:v>
                </c:pt>
                <c:pt idx="190">
                  <c:v>30/12/2022</c:v>
                </c:pt>
                <c:pt idx="191">
                  <c:v>31/12/2022</c:v>
                </c:pt>
              </c:strCache>
            </c:strRef>
          </c:cat>
          <c:val>
            <c:numRef>
              <c:f>Calcul!$Q$4:$Q$196</c:f>
              <c:numCache>
                <c:formatCode>General</c:formatCode>
                <c:ptCount val="192"/>
                <c:pt idx="0">
                  <c:v>141.57</c:v>
                </c:pt>
                <c:pt idx="1">
                  <c:v>1301.1000000000001</c:v>
                </c:pt>
                <c:pt idx="2">
                  <c:v>747.72</c:v>
                </c:pt>
                <c:pt idx="3">
                  <c:v>806.47</c:v>
                </c:pt>
                <c:pt idx="4">
                  <c:v>1409.76</c:v>
                </c:pt>
                <c:pt idx="5">
                  <c:v>816.19999999999993</c:v>
                </c:pt>
                <c:pt idx="6">
                  <c:v>234.96</c:v>
                </c:pt>
                <c:pt idx="7">
                  <c:v>1260</c:v>
                </c:pt>
                <c:pt idx="8">
                  <c:v>677.6</c:v>
                </c:pt>
                <c:pt idx="9">
                  <c:v>1415.6999999999998</c:v>
                </c:pt>
                <c:pt idx="10">
                  <c:v>1613.92</c:v>
                </c:pt>
                <c:pt idx="11">
                  <c:v>460.8</c:v>
                </c:pt>
                <c:pt idx="12">
                  <c:v>851.58</c:v>
                </c:pt>
                <c:pt idx="13">
                  <c:v>1352.12</c:v>
                </c:pt>
                <c:pt idx="14">
                  <c:v>623.28</c:v>
                </c:pt>
                <c:pt idx="15">
                  <c:v>2010</c:v>
                </c:pt>
                <c:pt idx="16">
                  <c:v>3019.2</c:v>
                </c:pt>
                <c:pt idx="17">
                  <c:v>2194.92</c:v>
                </c:pt>
                <c:pt idx="18">
                  <c:v>183.04000000000002</c:v>
                </c:pt>
                <c:pt idx="19">
                  <c:v>2461.6800000000003</c:v>
                </c:pt>
                <c:pt idx="20">
                  <c:v>1400.4900000000002</c:v>
                </c:pt>
                <c:pt idx="21">
                  <c:v>1173.76</c:v>
                </c:pt>
                <c:pt idx="22">
                  <c:v>295.26</c:v>
                </c:pt>
                <c:pt idx="23">
                  <c:v>856.80000000000007</c:v>
                </c:pt>
                <c:pt idx="24">
                  <c:v>1858.23</c:v>
                </c:pt>
                <c:pt idx="25">
                  <c:v>1644.72</c:v>
                </c:pt>
                <c:pt idx="26">
                  <c:v>2135.64</c:v>
                </c:pt>
                <c:pt idx="27">
                  <c:v>322.71000000000004</c:v>
                </c:pt>
                <c:pt idx="28">
                  <c:v>117.48</c:v>
                </c:pt>
                <c:pt idx="29">
                  <c:v>1856.4</c:v>
                </c:pt>
                <c:pt idx="30">
                  <c:v>565.02</c:v>
                </c:pt>
                <c:pt idx="31">
                  <c:v>1752.48</c:v>
                </c:pt>
                <c:pt idx="32">
                  <c:v>2993.34</c:v>
                </c:pt>
                <c:pt idx="33">
                  <c:v>1286.4000000000001</c:v>
                </c:pt>
                <c:pt idx="34">
                  <c:v>320.58</c:v>
                </c:pt>
                <c:pt idx="35">
                  <c:v>97.68</c:v>
                </c:pt>
                <c:pt idx="36">
                  <c:v>80.94</c:v>
                </c:pt>
                <c:pt idx="37">
                  <c:v>492.48</c:v>
                </c:pt>
                <c:pt idx="38">
                  <c:v>1141.08</c:v>
                </c:pt>
                <c:pt idx="39">
                  <c:v>1436.4</c:v>
                </c:pt>
                <c:pt idx="40">
                  <c:v>353.86</c:v>
                </c:pt>
                <c:pt idx="41">
                  <c:v>991.2</c:v>
                </c:pt>
                <c:pt idx="42">
                  <c:v>1043.28</c:v>
                </c:pt>
                <c:pt idx="43">
                  <c:v>1057.32</c:v>
                </c:pt>
                <c:pt idx="44">
                  <c:v>2421.84</c:v>
                </c:pt>
                <c:pt idx="45">
                  <c:v>1409.76</c:v>
                </c:pt>
                <c:pt idx="46">
                  <c:v>1350.44</c:v>
                </c:pt>
                <c:pt idx="47">
                  <c:v>285.60000000000002</c:v>
                </c:pt>
                <c:pt idx="48">
                  <c:v>428.40000000000003</c:v>
                </c:pt>
                <c:pt idx="49">
                  <c:v>230.4</c:v>
                </c:pt>
                <c:pt idx="50">
                  <c:v>172.62</c:v>
                </c:pt>
                <c:pt idx="51">
                  <c:v>1795.8</c:v>
                </c:pt>
                <c:pt idx="52">
                  <c:v>232.96</c:v>
                </c:pt>
                <c:pt idx="53">
                  <c:v>1564.92</c:v>
                </c:pt>
                <c:pt idx="54">
                  <c:v>475.1</c:v>
                </c:pt>
                <c:pt idx="55">
                  <c:v>747.8</c:v>
                </c:pt>
                <c:pt idx="56">
                  <c:v>1231.2</c:v>
                </c:pt>
                <c:pt idx="57">
                  <c:v>233.2</c:v>
                </c:pt>
                <c:pt idx="58">
                  <c:v>1087.08</c:v>
                </c:pt>
                <c:pt idx="59">
                  <c:v>114.24000000000001</c:v>
                </c:pt>
                <c:pt idx="60">
                  <c:v>2054.08</c:v>
                </c:pt>
                <c:pt idx="61">
                  <c:v>673.28</c:v>
                </c:pt>
                <c:pt idx="62">
                  <c:v>1242.9000000000001</c:v>
                </c:pt>
                <c:pt idx="63">
                  <c:v>488.32</c:v>
                </c:pt>
                <c:pt idx="64">
                  <c:v>762.5</c:v>
                </c:pt>
                <c:pt idx="65">
                  <c:v>408.09999999999997</c:v>
                </c:pt>
                <c:pt idx="66">
                  <c:v>120</c:v>
                </c:pt>
                <c:pt idx="67">
                  <c:v>990.99</c:v>
                </c:pt>
                <c:pt idx="68">
                  <c:v>1881.3600000000001</c:v>
                </c:pt>
                <c:pt idx="69">
                  <c:v>47.16</c:v>
                </c:pt>
                <c:pt idx="70">
                  <c:v>338.8</c:v>
                </c:pt>
                <c:pt idx="71">
                  <c:v>470.85</c:v>
                </c:pt>
                <c:pt idx="72">
                  <c:v>1324.68</c:v>
                </c:pt>
                <c:pt idx="73">
                  <c:v>381.25</c:v>
                </c:pt>
                <c:pt idx="74">
                  <c:v>3489.72</c:v>
                </c:pt>
                <c:pt idx="75">
                  <c:v>456.96000000000004</c:v>
                </c:pt>
                <c:pt idx="76">
                  <c:v>867.84</c:v>
                </c:pt>
                <c:pt idx="77">
                  <c:v>1231.2</c:v>
                </c:pt>
                <c:pt idx="78">
                  <c:v>188.64</c:v>
                </c:pt>
                <c:pt idx="79">
                  <c:v>999.60000000000014</c:v>
                </c:pt>
                <c:pt idx="80">
                  <c:v>197.86</c:v>
                </c:pt>
                <c:pt idx="81">
                  <c:v>5344</c:v>
                </c:pt>
                <c:pt idx="82">
                  <c:v>1720.2600000000002</c:v>
                </c:pt>
                <c:pt idx="83">
                  <c:v>1324.68</c:v>
                </c:pt>
                <c:pt idx="84">
                  <c:v>334.48</c:v>
                </c:pt>
                <c:pt idx="85">
                  <c:v>1528.3899999999999</c:v>
                </c:pt>
                <c:pt idx="86">
                  <c:v>147.96</c:v>
                </c:pt>
                <c:pt idx="87">
                  <c:v>2430</c:v>
                </c:pt>
                <c:pt idx="88">
                  <c:v>796.65</c:v>
                </c:pt>
                <c:pt idx="89">
                  <c:v>1142.4000000000001</c:v>
                </c:pt>
                <c:pt idx="90">
                  <c:v>2194.92</c:v>
                </c:pt>
                <c:pt idx="91">
                  <c:v>1567.52</c:v>
                </c:pt>
                <c:pt idx="92">
                  <c:v>390.72</c:v>
                </c:pt>
                <c:pt idx="93">
                  <c:v>344.47</c:v>
                </c:pt>
                <c:pt idx="94">
                  <c:v>659.19</c:v>
                </c:pt>
                <c:pt idx="95">
                  <c:v>1230.1600000000001</c:v>
                </c:pt>
                <c:pt idx="96">
                  <c:v>1795.5</c:v>
                </c:pt>
                <c:pt idx="97">
                  <c:v>334.11</c:v>
                </c:pt>
                <c:pt idx="98">
                  <c:v>184.07</c:v>
                </c:pt>
                <c:pt idx="99">
                  <c:v>347.76</c:v>
                </c:pt>
                <c:pt idx="100">
                  <c:v>98.42</c:v>
                </c:pt>
                <c:pt idx="101">
                  <c:v>1409.76</c:v>
                </c:pt>
                <c:pt idx="102">
                  <c:v>501.72</c:v>
                </c:pt>
                <c:pt idx="103">
                  <c:v>58.31</c:v>
                </c:pt>
                <c:pt idx="104">
                  <c:v>1077.3</c:v>
                </c:pt>
                <c:pt idx="105">
                  <c:v>97.68</c:v>
                </c:pt>
                <c:pt idx="106">
                  <c:v>1391.04</c:v>
                </c:pt>
                <c:pt idx="107">
                  <c:v>1971.3600000000001</c:v>
                </c:pt>
                <c:pt idx="108">
                  <c:v>1296</c:v>
                </c:pt>
                <c:pt idx="109">
                  <c:v>349.79999999999995</c:v>
                </c:pt>
                <c:pt idx="110">
                  <c:v>98.42</c:v>
                </c:pt>
                <c:pt idx="111">
                  <c:v>1254.1199999999999</c:v>
                </c:pt>
                <c:pt idx="112">
                  <c:v>3097.74</c:v>
                </c:pt>
                <c:pt idx="113">
                  <c:v>834.06</c:v>
                </c:pt>
                <c:pt idx="114">
                  <c:v>470.85</c:v>
                </c:pt>
                <c:pt idx="115">
                  <c:v>149.76</c:v>
                </c:pt>
                <c:pt idx="116">
                  <c:v>3230.98</c:v>
                </c:pt>
                <c:pt idx="117">
                  <c:v>2817.92</c:v>
                </c:pt>
                <c:pt idx="118">
                  <c:v>594.04</c:v>
                </c:pt>
                <c:pt idx="119">
                  <c:v>753.44</c:v>
                </c:pt>
                <c:pt idx="120">
                  <c:v>143.19</c:v>
                </c:pt>
                <c:pt idx="121">
                  <c:v>3618.7799999999997</c:v>
                </c:pt>
                <c:pt idx="122">
                  <c:v>66.56</c:v>
                </c:pt>
                <c:pt idx="123">
                  <c:v>1646.42</c:v>
                </c:pt>
                <c:pt idx="124">
                  <c:v>778.05000000000007</c:v>
                </c:pt>
                <c:pt idx="125">
                  <c:v>3416.08</c:v>
                </c:pt>
                <c:pt idx="126">
                  <c:v>638.25</c:v>
                </c:pt>
                <c:pt idx="127">
                  <c:v>1613.2400000000002</c:v>
                </c:pt>
                <c:pt idx="128">
                  <c:v>1053.1300000000001</c:v>
                </c:pt>
                <c:pt idx="129">
                  <c:v>204.35999999999999</c:v>
                </c:pt>
                <c:pt idx="130">
                  <c:v>142.80000000000001</c:v>
                </c:pt>
                <c:pt idx="131">
                  <c:v>1867.3200000000002</c:v>
                </c:pt>
                <c:pt idx="132">
                  <c:v>1807.74</c:v>
                </c:pt>
                <c:pt idx="133">
                  <c:v>420.18</c:v>
                </c:pt>
                <c:pt idx="134">
                  <c:v>159.32999999999998</c:v>
                </c:pt>
                <c:pt idx="135">
                  <c:v>1286.4000000000001</c:v>
                </c:pt>
                <c:pt idx="136">
                  <c:v>345.24</c:v>
                </c:pt>
                <c:pt idx="137">
                  <c:v>957.6</c:v>
                </c:pt>
                <c:pt idx="138">
                  <c:v>1757</c:v>
                </c:pt>
                <c:pt idx="139">
                  <c:v>812.24</c:v>
                </c:pt>
                <c:pt idx="140">
                  <c:v>996.96</c:v>
                </c:pt>
                <c:pt idx="141">
                  <c:v>1130.04</c:v>
                </c:pt>
                <c:pt idx="142">
                  <c:v>2584.56</c:v>
                </c:pt>
                <c:pt idx="143">
                  <c:v>1363.68</c:v>
                </c:pt>
                <c:pt idx="144">
                  <c:v>757.9</c:v>
                </c:pt>
                <c:pt idx="145">
                  <c:v>242</c:v>
                </c:pt>
                <c:pt idx="146">
                  <c:v>715.95</c:v>
                </c:pt>
                <c:pt idx="147">
                  <c:v>6.7</c:v>
                </c:pt>
                <c:pt idx="148">
                  <c:v>1118.8800000000001</c:v>
                </c:pt>
                <c:pt idx="149">
                  <c:v>2874.96</c:v>
                </c:pt>
                <c:pt idx="150">
                  <c:v>946.2</c:v>
                </c:pt>
                <c:pt idx="151">
                  <c:v>2142</c:v>
                </c:pt>
                <c:pt idx="152">
                  <c:v>1231.2</c:v>
                </c:pt>
                <c:pt idx="153">
                  <c:v>157.19999999999999</c:v>
                </c:pt>
                <c:pt idx="154">
                  <c:v>288.89999999999998</c:v>
                </c:pt>
                <c:pt idx="155">
                  <c:v>2197.44</c:v>
                </c:pt>
                <c:pt idx="156">
                  <c:v>486</c:v>
                </c:pt>
                <c:pt idx="157">
                  <c:v>639.36</c:v>
                </c:pt>
                <c:pt idx="158">
                  <c:v>1412.55</c:v>
                </c:pt>
                <c:pt idx="159">
                  <c:v>3288.5</c:v>
                </c:pt>
                <c:pt idx="160">
                  <c:v>838.75</c:v>
                </c:pt>
                <c:pt idx="161">
                  <c:v>946.2</c:v>
                </c:pt>
                <c:pt idx="162">
                  <c:v>3150</c:v>
                </c:pt>
                <c:pt idx="163">
                  <c:v>3390.4</c:v>
                </c:pt>
                <c:pt idx="164">
                  <c:v>1497.6000000000001</c:v>
                </c:pt>
                <c:pt idx="165">
                  <c:v>3159.3</c:v>
                </c:pt>
                <c:pt idx="166">
                  <c:v>456.96000000000004</c:v>
                </c:pt>
                <c:pt idx="167">
                  <c:v>344.47</c:v>
                </c:pt>
                <c:pt idx="168">
                  <c:v>571.20000000000005</c:v>
                </c:pt>
                <c:pt idx="169">
                  <c:v>142.80000000000001</c:v>
                </c:pt>
                <c:pt idx="170">
                  <c:v>1318.38</c:v>
                </c:pt>
                <c:pt idx="171">
                  <c:v>1254.24</c:v>
                </c:pt>
                <c:pt idx="172">
                  <c:v>466.4</c:v>
                </c:pt>
                <c:pt idx="173">
                  <c:v>457.5</c:v>
                </c:pt>
                <c:pt idx="174">
                  <c:v>1155.5999999999999</c:v>
                </c:pt>
                <c:pt idx="175">
                  <c:v>244.20000000000002</c:v>
                </c:pt>
                <c:pt idx="176">
                  <c:v>587.4</c:v>
                </c:pt>
                <c:pt idx="177">
                  <c:v>874.5</c:v>
                </c:pt>
                <c:pt idx="178">
                  <c:v>833.28</c:v>
                </c:pt>
                <c:pt idx="179">
                  <c:v>31.439999999999998</c:v>
                </c:pt>
                <c:pt idx="180">
                  <c:v>209.05</c:v>
                </c:pt>
                <c:pt idx="181">
                  <c:v>1477.8</c:v>
                </c:pt>
                <c:pt idx="182">
                  <c:v>1574.96</c:v>
                </c:pt>
                <c:pt idx="183">
                  <c:v>2851.52</c:v>
                </c:pt>
                <c:pt idx="184">
                  <c:v>3550.3199999999997</c:v>
                </c:pt>
                <c:pt idx="185">
                  <c:v>622.44000000000005</c:v>
                </c:pt>
                <c:pt idx="186">
                  <c:v>102.17999999999999</c:v>
                </c:pt>
                <c:pt idx="187">
                  <c:v>1338.62</c:v>
                </c:pt>
                <c:pt idx="188">
                  <c:v>855</c:v>
                </c:pt>
                <c:pt idx="189">
                  <c:v>1581.3000000000002</c:v>
                </c:pt>
                <c:pt idx="190">
                  <c:v>2434.3199999999997</c:v>
                </c:pt>
                <c:pt idx="191">
                  <c:v>1872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E-4A83-8741-B49F5A02F742}"/>
            </c:ext>
          </c:extLst>
        </c:ser>
        <c:ser>
          <c:idx val="1"/>
          <c:order val="1"/>
          <c:tx>
            <c:strRef>
              <c:f>Calcul!$R$3</c:f>
              <c:strCache>
                <c:ptCount val="1"/>
                <c:pt idx="0">
                  <c:v>Coût d'achat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Calcul!$P$4:$P$196</c:f>
              <c:strCache>
                <c:ptCount val="192"/>
                <c:pt idx="0">
                  <c:v>01/01/2022</c:v>
                </c:pt>
                <c:pt idx="1">
                  <c:v>02/01/2022</c:v>
                </c:pt>
                <c:pt idx="2">
                  <c:v>03/01/2022</c:v>
                </c:pt>
                <c:pt idx="3">
                  <c:v>04/01/2022</c:v>
                </c:pt>
                <c:pt idx="4">
                  <c:v>09/01/2022</c:v>
                </c:pt>
                <c:pt idx="5">
                  <c:v>10/01/2022</c:v>
                </c:pt>
                <c:pt idx="6">
                  <c:v>11/01/2022</c:v>
                </c:pt>
                <c:pt idx="7">
                  <c:v>13/01/2022</c:v>
                </c:pt>
                <c:pt idx="8">
                  <c:v>14/01/2022</c:v>
                </c:pt>
                <c:pt idx="9">
                  <c:v>15/01/2022</c:v>
                </c:pt>
                <c:pt idx="10">
                  <c:v>16/01/2022</c:v>
                </c:pt>
                <c:pt idx="11">
                  <c:v>17/01/2022</c:v>
                </c:pt>
                <c:pt idx="12">
                  <c:v>18/01/2022</c:v>
                </c:pt>
                <c:pt idx="13">
                  <c:v>20/01/2022</c:v>
                </c:pt>
                <c:pt idx="14">
                  <c:v>22/01/2022</c:v>
                </c:pt>
                <c:pt idx="15">
                  <c:v>23/01/2022</c:v>
                </c:pt>
                <c:pt idx="16">
                  <c:v>24/01/2022</c:v>
                </c:pt>
                <c:pt idx="17">
                  <c:v>25/01/2022</c:v>
                </c:pt>
                <c:pt idx="18">
                  <c:v>28/01/2022</c:v>
                </c:pt>
                <c:pt idx="19">
                  <c:v>31/01/2022</c:v>
                </c:pt>
                <c:pt idx="20">
                  <c:v>01/02/2022</c:v>
                </c:pt>
                <c:pt idx="21">
                  <c:v>03/02/2022</c:v>
                </c:pt>
                <c:pt idx="22">
                  <c:v>05/02/2022</c:v>
                </c:pt>
                <c:pt idx="23">
                  <c:v>06/02/2022</c:v>
                </c:pt>
                <c:pt idx="24">
                  <c:v>08/02/2022</c:v>
                </c:pt>
                <c:pt idx="25">
                  <c:v>09/02/2022</c:v>
                </c:pt>
                <c:pt idx="26">
                  <c:v>12/02/2022</c:v>
                </c:pt>
                <c:pt idx="27">
                  <c:v>14/02/2022</c:v>
                </c:pt>
                <c:pt idx="28">
                  <c:v>16/02/2022</c:v>
                </c:pt>
                <c:pt idx="29">
                  <c:v>19/02/2022</c:v>
                </c:pt>
                <c:pt idx="30">
                  <c:v>20/02/2022</c:v>
                </c:pt>
                <c:pt idx="31">
                  <c:v>23/02/2022</c:v>
                </c:pt>
                <c:pt idx="32">
                  <c:v>27/02/2022</c:v>
                </c:pt>
                <c:pt idx="33">
                  <c:v>28/02/2022</c:v>
                </c:pt>
                <c:pt idx="34">
                  <c:v>04/03/2022</c:v>
                </c:pt>
                <c:pt idx="35">
                  <c:v>06/03/2022</c:v>
                </c:pt>
                <c:pt idx="36">
                  <c:v>07/03/2022</c:v>
                </c:pt>
                <c:pt idx="37">
                  <c:v>08/03/2022</c:v>
                </c:pt>
                <c:pt idx="38">
                  <c:v>09/03/2022</c:v>
                </c:pt>
                <c:pt idx="39">
                  <c:v>10/03/2022</c:v>
                </c:pt>
                <c:pt idx="40">
                  <c:v>14/03/2022</c:v>
                </c:pt>
                <c:pt idx="41">
                  <c:v>18/03/2022</c:v>
                </c:pt>
                <c:pt idx="42">
                  <c:v>19/03/2022</c:v>
                </c:pt>
                <c:pt idx="43">
                  <c:v>23/03/2022</c:v>
                </c:pt>
                <c:pt idx="44">
                  <c:v>25/03/2022</c:v>
                </c:pt>
                <c:pt idx="45">
                  <c:v>29/03/2022</c:v>
                </c:pt>
                <c:pt idx="46">
                  <c:v>30/03/2022</c:v>
                </c:pt>
                <c:pt idx="47">
                  <c:v>01/04/2022</c:v>
                </c:pt>
                <c:pt idx="48">
                  <c:v>02/04/2022</c:v>
                </c:pt>
                <c:pt idx="49">
                  <c:v>06/04/2022</c:v>
                </c:pt>
                <c:pt idx="50">
                  <c:v>07/04/2022</c:v>
                </c:pt>
                <c:pt idx="51">
                  <c:v>09/04/2022</c:v>
                </c:pt>
                <c:pt idx="52">
                  <c:v>13/04/2022</c:v>
                </c:pt>
                <c:pt idx="53">
                  <c:v>18/04/2022</c:v>
                </c:pt>
                <c:pt idx="54">
                  <c:v>20/04/2022</c:v>
                </c:pt>
                <c:pt idx="55">
                  <c:v>21/04/2022</c:v>
                </c:pt>
                <c:pt idx="56">
                  <c:v>23/04/2022</c:v>
                </c:pt>
                <c:pt idx="57">
                  <c:v>24/04/2022</c:v>
                </c:pt>
                <c:pt idx="58">
                  <c:v>25/04/2022</c:v>
                </c:pt>
                <c:pt idx="59">
                  <c:v>26/04/2022</c:v>
                </c:pt>
                <c:pt idx="60">
                  <c:v>28/04/2022</c:v>
                </c:pt>
                <c:pt idx="61">
                  <c:v>30/04/2022</c:v>
                </c:pt>
                <c:pt idx="62">
                  <c:v>01/05/2022</c:v>
                </c:pt>
                <c:pt idx="63">
                  <c:v>02/05/2022</c:v>
                </c:pt>
                <c:pt idx="64">
                  <c:v>04/05/2022</c:v>
                </c:pt>
                <c:pt idx="65">
                  <c:v>06/05/2022</c:v>
                </c:pt>
                <c:pt idx="66">
                  <c:v>07/05/2022</c:v>
                </c:pt>
                <c:pt idx="67">
                  <c:v>08/05/2022</c:v>
                </c:pt>
                <c:pt idx="68">
                  <c:v>09/05/2022</c:v>
                </c:pt>
                <c:pt idx="69">
                  <c:v>10/05/2022</c:v>
                </c:pt>
                <c:pt idx="70">
                  <c:v>12/05/2022</c:v>
                </c:pt>
                <c:pt idx="71">
                  <c:v>13/05/2022</c:v>
                </c:pt>
                <c:pt idx="72">
                  <c:v>14/05/2022</c:v>
                </c:pt>
                <c:pt idx="73">
                  <c:v>15/05/2022</c:v>
                </c:pt>
                <c:pt idx="74">
                  <c:v>16/05/2022</c:v>
                </c:pt>
                <c:pt idx="75">
                  <c:v>17/05/2022</c:v>
                </c:pt>
                <c:pt idx="76">
                  <c:v>18/05/2022</c:v>
                </c:pt>
                <c:pt idx="77">
                  <c:v>20/05/2022</c:v>
                </c:pt>
                <c:pt idx="78">
                  <c:v>22/05/2022</c:v>
                </c:pt>
                <c:pt idx="79">
                  <c:v>25/05/2022</c:v>
                </c:pt>
                <c:pt idx="80">
                  <c:v>26/05/2022</c:v>
                </c:pt>
                <c:pt idx="81">
                  <c:v>28/05/2022</c:v>
                </c:pt>
                <c:pt idx="82">
                  <c:v>30/05/2022</c:v>
                </c:pt>
                <c:pt idx="83">
                  <c:v>03/06/2022</c:v>
                </c:pt>
                <c:pt idx="84">
                  <c:v>10/06/2022</c:v>
                </c:pt>
                <c:pt idx="85">
                  <c:v>11/06/2022</c:v>
                </c:pt>
                <c:pt idx="86">
                  <c:v>13/06/2022</c:v>
                </c:pt>
                <c:pt idx="87">
                  <c:v>15/06/2022</c:v>
                </c:pt>
                <c:pt idx="88">
                  <c:v>16/06/2022</c:v>
                </c:pt>
                <c:pt idx="89">
                  <c:v>19/06/2022</c:v>
                </c:pt>
                <c:pt idx="90">
                  <c:v>21/06/2022</c:v>
                </c:pt>
                <c:pt idx="91">
                  <c:v>22/06/2022</c:v>
                </c:pt>
                <c:pt idx="92">
                  <c:v>23/06/2022</c:v>
                </c:pt>
                <c:pt idx="93">
                  <c:v>24/06/2022</c:v>
                </c:pt>
                <c:pt idx="94">
                  <c:v>25/06/2022</c:v>
                </c:pt>
                <c:pt idx="95">
                  <c:v>26/06/2022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08/07/2022</c:v>
                </c:pt>
                <c:pt idx="101">
                  <c:v>10/07/2022</c:v>
                </c:pt>
                <c:pt idx="102">
                  <c:v>12/07/2022</c:v>
                </c:pt>
                <c:pt idx="103">
                  <c:v>13/07/2022</c:v>
                </c:pt>
                <c:pt idx="104">
                  <c:v>14/07/2022</c:v>
                </c:pt>
                <c:pt idx="105">
                  <c:v>15/07/2022</c:v>
                </c:pt>
                <c:pt idx="106">
                  <c:v>17/07/2022</c:v>
                </c:pt>
                <c:pt idx="107">
                  <c:v>18/07/2022</c:v>
                </c:pt>
                <c:pt idx="108">
                  <c:v>20/07/2022</c:v>
                </c:pt>
                <c:pt idx="109">
                  <c:v>22/07/2022</c:v>
                </c:pt>
                <c:pt idx="110">
                  <c:v>23/07/2022</c:v>
                </c:pt>
                <c:pt idx="111">
                  <c:v>24/07/2022</c:v>
                </c:pt>
                <c:pt idx="112">
                  <c:v>25/07/2022</c:v>
                </c:pt>
                <c:pt idx="113">
                  <c:v>26/07/2022</c:v>
                </c:pt>
                <c:pt idx="114">
                  <c:v>03/08/2022</c:v>
                </c:pt>
                <c:pt idx="115">
                  <c:v>06/08/2022</c:v>
                </c:pt>
                <c:pt idx="116">
                  <c:v>08/08/2022</c:v>
                </c:pt>
                <c:pt idx="117">
                  <c:v>14/08/2022</c:v>
                </c:pt>
                <c:pt idx="118">
                  <c:v>15/08/2022</c:v>
                </c:pt>
                <c:pt idx="119">
                  <c:v>18/08/2022</c:v>
                </c:pt>
                <c:pt idx="120">
                  <c:v>19/08/2022</c:v>
                </c:pt>
                <c:pt idx="121">
                  <c:v>20/08/2022</c:v>
                </c:pt>
                <c:pt idx="122">
                  <c:v>21/08/2022</c:v>
                </c:pt>
                <c:pt idx="123">
                  <c:v>23/08/2022</c:v>
                </c:pt>
                <c:pt idx="124">
                  <c:v>24/08/2022</c:v>
                </c:pt>
                <c:pt idx="125">
                  <c:v>26/08/2022</c:v>
                </c:pt>
                <c:pt idx="126">
                  <c:v>27/08/2022</c:v>
                </c:pt>
                <c:pt idx="127">
                  <c:v>28/08/2022</c:v>
                </c:pt>
                <c:pt idx="128">
                  <c:v>30/08/2022</c:v>
                </c:pt>
                <c:pt idx="129">
                  <c:v>31/08/2022</c:v>
                </c:pt>
                <c:pt idx="130">
                  <c:v>04/09/2022</c:v>
                </c:pt>
                <c:pt idx="131">
                  <c:v>06/09/2022</c:v>
                </c:pt>
                <c:pt idx="132">
                  <c:v>09/09/2022</c:v>
                </c:pt>
                <c:pt idx="133">
                  <c:v>10/09/2022</c:v>
                </c:pt>
                <c:pt idx="134">
                  <c:v>14/09/2022</c:v>
                </c:pt>
                <c:pt idx="135">
                  <c:v>15/09/2022</c:v>
                </c:pt>
                <c:pt idx="136">
                  <c:v>18/09/2022</c:v>
                </c:pt>
                <c:pt idx="137">
                  <c:v>19/09/2022</c:v>
                </c:pt>
                <c:pt idx="138">
                  <c:v>20/09/2022</c:v>
                </c:pt>
                <c:pt idx="139">
                  <c:v>21/09/2022</c:v>
                </c:pt>
                <c:pt idx="140">
                  <c:v>22/09/2022</c:v>
                </c:pt>
                <c:pt idx="141">
                  <c:v>23/09/2022</c:v>
                </c:pt>
                <c:pt idx="142">
                  <c:v>24/09/2022</c:v>
                </c:pt>
                <c:pt idx="143">
                  <c:v>27/09/2022</c:v>
                </c:pt>
                <c:pt idx="144">
                  <c:v>29/09/2022</c:v>
                </c:pt>
                <c:pt idx="145">
                  <c:v>03/10/2022</c:v>
                </c:pt>
                <c:pt idx="146">
                  <c:v>04/10/2022</c:v>
                </c:pt>
                <c:pt idx="147">
                  <c:v>06/10/2022</c:v>
                </c:pt>
                <c:pt idx="148">
                  <c:v>09/10/2022</c:v>
                </c:pt>
                <c:pt idx="149">
                  <c:v>10/10/2022</c:v>
                </c:pt>
                <c:pt idx="150">
                  <c:v>11/10/2022</c:v>
                </c:pt>
                <c:pt idx="151">
                  <c:v>13/10/2022</c:v>
                </c:pt>
                <c:pt idx="152">
                  <c:v>14/10/2022</c:v>
                </c:pt>
                <c:pt idx="153">
                  <c:v>15/10/2022</c:v>
                </c:pt>
                <c:pt idx="154">
                  <c:v>16/10/2022</c:v>
                </c:pt>
                <c:pt idx="155">
                  <c:v>23/10/2022</c:v>
                </c:pt>
                <c:pt idx="156">
                  <c:v>30/10/2022</c:v>
                </c:pt>
                <c:pt idx="157">
                  <c:v>31/10/2022</c:v>
                </c:pt>
                <c:pt idx="158">
                  <c:v>01/11/2022</c:v>
                </c:pt>
                <c:pt idx="159">
                  <c:v>02/11/2022</c:v>
                </c:pt>
                <c:pt idx="160">
                  <c:v>03/11/2022</c:v>
                </c:pt>
                <c:pt idx="161">
                  <c:v>04/11/2022</c:v>
                </c:pt>
                <c:pt idx="162">
                  <c:v>05/11/2022</c:v>
                </c:pt>
                <c:pt idx="163">
                  <c:v>06/11/2022</c:v>
                </c:pt>
                <c:pt idx="164">
                  <c:v>07/11/2022</c:v>
                </c:pt>
                <c:pt idx="165">
                  <c:v>08/11/2022</c:v>
                </c:pt>
                <c:pt idx="166">
                  <c:v>09/11/2022</c:v>
                </c:pt>
                <c:pt idx="167">
                  <c:v>10/11/2022</c:v>
                </c:pt>
                <c:pt idx="168">
                  <c:v>13/11/2022</c:v>
                </c:pt>
                <c:pt idx="169">
                  <c:v>14/11/2022</c:v>
                </c:pt>
                <c:pt idx="170">
                  <c:v>15/11/2022</c:v>
                </c:pt>
                <c:pt idx="171">
                  <c:v>16/11/2022</c:v>
                </c:pt>
                <c:pt idx="172">
                  <c:v>18/11/2022</c:v>
                </c:pt>
                <c:pt idx="173">
                  <c:v>21/11/2022</c:v>
                </c:pt>
                <c:pt idx="174">
                  <c:v>23/11/2022</c:v>
                </c:pt>
                <c:pt idx="175">
                  <c:v>25/11/2022</c:v>
                </c:pt>
                <c:pt idx="176">
                  <c:v>26/11/2022</c:v>
                </c:pt>
                <c:pt idx="177">
                  <c:v>27/11/2022</c:v>
                </c:pt>
                <c:pt idx="178">
                  <c:v>28/11/2022</c:v>
                </c:pt>
                <c:pt idx="179">
                  <c:v>30/11/2022</c:v>
                </c:pt>
                <c:pt idx="180">
                  <c:v>03/12/2022</c:v>
                </c:pt>
                <c:pt idx="181">
                  <c:v>04/12/2022</c:v>
                </c:pt>
                <c:pt idx="182">
                  <c:v>07/12/2022</c:v>
                </c:pt>
                <c:pt idx="183">
                  <c:v>11/12/2022</c:v>
                </c:pt>
                <c:pt idx="184">
                  <c:v>12/12/2022</c:v>
                </c:pt>
                <c:pt idx="185">
                  <c:v>14/12/2022</c:v>
                </c:pt>
                <c:pt idx="186">
                  <c:v>15/12/2022</c:v>
                </c:pt>
                <c:pt idx="187">
                  <c:v>19/12/2022</c:v>
                </c:pt>
                <c:pt idx="188">
                  <c:v>21/12/2022</c:v>
                </c:pt>
                <c:pt idx="189">
                  <c:v>29/12/2022</c:v>
                </c:pt>
                <c:pt idx="190">
                  <c:v>30/12/2022</c:v>
                </c:pt>
                <c:pt idx="191">
                  <c:v>31/12/2022</c:v>
                </c:pt>
              </c:strCache>
            </c:strRef>
          </c:cat>
          <c:val>
            <c:numRef>
              <c:f>Calcul!$R$4:$R$196</c:f>
              <c:numCache>
                <c:formatCode>General</c:formatCode>
                <c:ptCount val="192"/>
                <c:pt idx="0">
                  <c:v>121</c:v>
                </c:pt>
                <c:pt idx="1">
                  <c:v>1155</c:v>
                </c:pt>
                <c:pt idx="2">
                  <c:v>603</c:v>
                </c:pt>
                <c:pt idx="3">
                  <c:v>631</c:v>
                </c:pt>
                <c:pt idx="4">
                  <c:v>1068</c:v>
                </c:pt>
                <c:pt idx="5">
                  <c:v>770</c:v>
                </c:pt>
                <c:pt idx="6">
                  <c:v>178</c:v>
                </c:pt>
                <c:pt idx="7">
                  <c:v>900</c:v>
                </c:pt>
                <c:pt idx="8">
                  <c:v>616</c:v>
                </c:pt>
                <c:pt idx="9">
                  <c:v>1210</c:v>
                </c:pt>
                <c:pt idx="10">
                  <c:v>1232</c:v>
                </c:pt>
                <c:pt idx="11">
                  <c:v>360</c:v>
                </c:pt>
                <c:pt idx="12">
                  <c:v>747</c:v>
                </c:pt>
                <c:pt idx="13">
                  <c:v>1036</c:v>
                </c:pt>
                <c:pt idx="14">
                  <c:v>588</c:v>
                </c:pt>
                <c:pt idx="15">
                  <c:v>1485</c:v>
                </c:pt>
                <c:pt idx="16">
                  <c:v>2220</c:v>
                </c:pt>
                <c:pt idx="17">
                  <c:v>1876</c:v>
                </c:pt>
                <c:pt idx="18">
                  <c:v>143</c:v>
                </c:pt>
                <c:pt idx="19">
                  <c:v>2088</c:v>
                </c:pt>
                <c:pt idx="20">
                  <c:v>1197</c:v>
                </c:pt>
                <c:pt idx="21">
                  <c:v>896</c:v>
                </c:pt>
                <c:pt idx="22">
                  <c:v>222</c:v>
                </c:pt>
                <c:pt idx="23">
                  <c:v>630</c:v>
                </c:pt>
                <c:pt idx="24">
                  <c:v>1595</c:v>
                </c:pt>
                <c:pt idx="25">
                  <c:v>1246</c:v>
                </c:pt>
                <c:pt idx="26">
                  <c:v>1924</c:v>
                </c:pt>
                <c:pt idx="27">
                  <c:v>255</c:v>
                </c:pt>
                <c:pt idx="28">
                  <c:v>89</c:v>
                </c:pt>
                <c:pt idx="29">
                  <c:v>1365</c:v>
                </c:pt>
                <c:pt idx="30">
                  <c:v>438</c:v>
                </c:pt>
                <c:pt idx="31">
                  <c:v>1587</c:v>
                </c:pt>
                <c:pt idx="32">
                  <c:v>2506</c:v>
                </c:pt>
                <c:pt idx="33">
                  <c:v>1005</c:v>
                </c:pt>
                <c:pt idx="34">
                  <c:v>234</c:v>
                </c:pt>
                <c:pt idx="35">
                  <c:v>88</c:v>
                </c:pt>
                <c:pt idx="36">
                  <c:v>71</c:v>
                </c:pt>
                <c:pt idx="37">
                  <c:v>456</c:v>
                </c:pt>
                <c:pt idx="38">
                  <c:v>928</c:v>
                </c:pt>
                <c:pt idx="39">
                  <c:v>1140</c:v>
                </c:pt>
                <c:pt idx="40">
                  <c:v>260</c:v>
                </c:pt>
                <c:pt idx="41">
                  <c:v>780</c:v>
                </c:pt>
                <c:pt idx="42">
                  <c:v>828</c:v>
                </c:pt>
                <c:pt idx="43">
                  <c:v>801</c:v>
                </c:pt>
                <c:pt idx="44">
                  <c:v>1824</c:v>
                </c:pt>
                <c:pt idx="45">
                  <c:v>1068</c:v>
                </c:pt>
                <c:pt idx="46">
                  <c:v>1274</c:v>
                </c:pt>
                <c:pt idx="47">
                  <c:v>210</c:v>
                </c:pt>
                <c:pt idx="48">
                  <c:v>315</c:v>
                </c:pt>
                <c:pt idx="49">
                  <c:v>180</c:v>
                </c:pt>
                <c:pt idx="50">
                  <c:v>126</c:v>
                </c:pt>
                <c:pt idx="51">
                  <c:v>1389</c:v>
                </c:pt>
                <c:pt idx="52">
                  <c:v>182</c:v>
                </c:pt>
                <c:pt idx="53">
                  <c:v>1242</c:v>
                </c:pt>
                <c:pt idx="54">
                  <c:v>366</c:v>
                </c:pt>
                <c:pt idx="55">
                  <c:v>548</c:v>
                </c:pt>
                <c:pt idx="56">
                  <c:v>1140</c:v>
                </c:pt>
                <c:pt idx="57">
                  <c:v>220</c:v>
                </c:pt>
                <c:pt idx="58">
                  <c:v>964</c:v>
                </c:pt>
                <c:pt idx="59">
                  <c:v>96</c:v>
                </c:pt>
                <c:pt idx="60">
                  <c:v>1568</c:v>
                </c:pt>
                <c:pt idx="61">
                  <c:v>553</c:v>
                </c:pt>
                <c:pt idx="62">
                  <c:v>1065</c:v>
                </c:pt>
                <c:pt idx="63">
                  <c:v>448</c:v>
                </c:pt>
                <c:pt idx="64">
                  <c:v>610</c:v>
                </c:pt>
                <c:pt idx="65">
                  <c:v>385</c:v>
                </c:pt>
                <c:pt idx="66">
                  <c:v>96</c:v>
                </c:pt>
                <c:pt idx="67">
                  <c:v>847</c:v>
                </c:pt>
                <c:pt idx="68">
                  <c:v>1608</c:v>
                </c:pt>
                <c:pt idx="69">
                  <c:v>36</c:v>
                </c:pt>
                <c:pt idx="70">
                  <c:v>308</c:v>
                </c:pt>
                <c:pt idx="71">
                  <c:v>365</c:v>
                </c:pt>
                <c:pt idx="72">
                  <c:v>1162</c:v>
                </c:pt>
                <c:pt idx="73">
                  <c:v>305</c:v>
                </c:pt>
                <c:pt idx="74">
                  <c:v>3133</c:v>
                </c:pt>
                <c:pt idx="75">
                  <c:v>384</c:v>
                </c:pt>
                <c:pt idx="76">
                  <c:v>768</c:v>
                </c:pt>
                <c:pt idx="77">
                  <c:v>1140</c:v>
                </c:pt>
                <c:pt idx="78">
                  <c:v>144</c:v>
                </c:pt>
                <c:pt idx="79">
                  <c:v>735</c:v>
                </c:pt>
                <c:pt idx="80">
                  <c:v>170</c:v>
                </c:pt>
                <c:pt idx="81">
                  <c:v>4509</c:v>
                </c:pt>
                <c:pt idx="82">
                  <c:v>1501</c:v>
                </c:pt>
                <c:pt idx="83">
                  <c:v>1162</c:v>
                </c:pt>
                <c:pt idx="84">
                  <c:v>296</c:v>
                </c:pt>
                <c:pt idx="85">
                  <c:v>1237</c:v>
                </c:pt>
                <c:pt idx="86">
                  <c:v>108</c:v>
                </c:pt>
                <c:pt idx="87">
                  <c:v>1800</c:v>
                </c:pt>
                <c:pt idx="88">
                  <c:v>705</c:v>
                </c:pt>
                <c:pt idx="89">
                  <c:v>840</c:v>
                </c:pt>
                <c:pt idx="90">
                  <c:v>1876</c:v>
                </c:pt>
                <c:pt idx="91">
                  <c:v>1292</c:v>
                </c:pt>
                <c:pt idx="92">
                  <c:v>352</c:v>
                </c:pt>
                <c:pt idx="93">
                  <c:v>259</c:v>
                </c:pt>
                <c:pt idx="94">
                  <c:v>511</c:v>
                </c:pt>
                <c:pt idx="95">
                  <c:v>1024</c:v>
                </c:pt>
                <c:pt idx="96">
                  <c:v>1425</c:v>
                </c:pt>
                <c:pt idx="97">
                  <c:v>301</c:v>
                </c:pt>
                <c:pt idx="98">
                  <c:v>145</c:v>
                </c:pt>
                <c:pt idx="99">
                  <c:v>276</c:v>
                </c:pt>
                <c:pt idx="100">
                  <c:v>74</c:v>
                </c:pt>
                <c:pt idx="101">
                  <c:v>1068</c:v>
                </c:pt>
                <c:pt idx="102">
                  <c:v>444</c:v>
                </c:pt>
                <c:pt idx="103">
                  <c:v>49</c:v>
                </c:pt>
                <c:pt idx="104">
                  <c:v>855</c:v>
                </c:pt>
                <c:pt idx="105">
                  <c:v>88</c:v>
                </c:pt>
                <c:pt idx="106">
                  <c:v>1104</c:v>
                </c:pt>
                <c:pt idx="107">
                  <c:v>1776</c:v>
                </c:pt>
                <c:pt idx="108">
                  <c:v>960</c:v>
                </c:pt>
                <c:pt idx="109">
                  <c:v>330</c:v>
                </c:pt>
                <c:pt idx="110">
                  <c:v>74</c:v>
                </c:pt>
                <c:pt idx="111">
                  <c:v>1098</c:v>
                </c:pt>
                <c:pt idx="112">
                  <c:v>2683</c:v>
                </c:pt>
                <c:pt idx="113">
                  <c:v>728</c:v>
                </c:pt>
                <c:pt idx="114">
                  <c:v>365</c:v>
                </c:pt>
                <c:pt idx="115">
                  <c:v>117</c:v>
                </c:pt>
                <c:pt idx="116">
                  <c:v>2480</c:v>
                </c:pt>
                <c:pt idx="117">
                  <c:v>2072</c:v>
                </c:pt>
                <c:pt idx="118">
                  <c:v>524</c:v>
                </c:pt>
                <c:pt idx="119">
                  <c:v>672</c:v>
                </c:pt>
                <c:pt idx="120">
                  <c:v>129</c:v>
                </c:pt>
                <c:pt idx="121">
                  <c:v>3163</c:v>
                </c:pt>
                <c:pt idx="122">
                  <c:v>52</c:v>
                </c:pt>
                <c:pt idx="123">
                  <c:v>1494</c:v>
                </c:pt>
                <c:pt idx="124">
                  <c:v>665</c:v>
                </c:pt>
                <c:pt idx="125">
                  <c:v>2486</c:v>
                </c:pt>
                <c:pt idx="126">
                  <c:v>555</c:v>
                </c:pt>
                <c:pt idx="127">
                  <c:v>1382</c:v>
                </c:pt>
                <c:pt idx="128">
                  <c:v>887</c:v>
                </c:pt>
                <c:pt idx="129">
                  <c:v>156</c:v>
                </c:pt>
                <c:pt idx="130">
                  <c:v>105</c:v>
                </c:pt>
                <c:pt idx="131">
                  <c:v>1596</c:v>
                </c:pt>
                <c:pt idx="132">
                  <c:v>1455</c:v>
                </c:pt>
                <c:pt idx="133">
                  <c:v>363</c:v>
                </c:pt>
                <c:pt idx="134">
                  <c:v>141</c:v>
                </c:pt>
                <c:pt idx="135">
                  <c:v>1005</c:v>
                </c:pt>
                <c:pt idx="136">
                  <c:v>252</c:v>
                </c:pt>
                <c:pt idx="137">
                  <c:v>760</c:v>
                </c:pt>
                <c:pt idx="138">
                  <c:v>1550</c:v>
                </c:pt>
                <c:pt idx="139">
                  <c:v>608</c:v>
                </c:pt>
                <c:pt idx="140">
                  <c:v>804</c:v>
                </c:pt>
                <c:pt idx="141">
                  <c:v>876</c:v>
                </c:pt>
                <c:pt idx="142">
                  <c:v>1958</c:v>
                </c:pt>
                <c:pt idx="143">
                  <c:v>1260</c:v>
                </c:pt>
                <c:pt idx="144">
                  <c:v>715</c:v>
                </c:pt>
                <c:pt idx="145">
                  <c:v>220</c:v>
                </c:pt>
                <c:pt idx="146">
                  <c:v>645</c:v>
                </c:pt>
                <c:pt idx="147">
                  <c:v>5</c:v>
                </c:pt>
                <c:pt idx="148">
                  <c:v>1008</c:v>
                </c:pt>
                <c:pt idx="149">
                  <c:v>2262</c:v>
                </c:pt>
                <c:pt idx="150">
                  <c:v>830</c:v>
                </c:pt>
                <c:pt idx="151">
                  <c:v>1575</c:v>
                </c:pt>
                <c:pt idx="152">
                  <c:v>1140</c:v>
                </c:pt>
                <c:pt idx="153">
                  <c:v>120</c:v>
                </c:pt>
                <c:pt idx="154">
                  <c:v>270</c:v>
                </c:pt>
                <c:pt idx="155">
                  <c:v>2016</c:v>
                </c:pt>
                <c:pt idx="156">
                  <c:v>360</c:v>
                </c:pt>
                <c:pt idx="157">
                  <c:v>576</c:v>
                </c:pt>
                <c:pt idx="158">
                  <c:v>1095</c:v>
                </c:pt>
                <c:pt idx="159">
                  <c:v>2425</c:v>
                </c:pt>
                <c:pt idx="160">
                  <c:v>671</c:v>
                </c:pt>
                <c:pt idx="161">
                  <c:v>830</c:v>
                </c:pt>
                <c:pt idx="162">
                  <c:v>2250</c:v>
                </c:pt>
                <c:pt idx="163">
                  <c:v>2587</c:v>
                </c:pt>
                <c:pt idx="164">
                  <c:v>1170</c:v>
                </c:pt>
                <c:pt idx="165">
                  <c:v>2490</c:v>
                </c:pt>
                <c:pt idx="166">
                  <c:v>384</c:v>
                </c:pt>
                <c:pt idx="167">
                  <c:v>259</c:v>
                </c:pt>
                <c:pt idx="168">
                  <c:v>480</c:v>
                </c:pt>
                <c:pt idx="169">
                  <c:v>105</c:v>
                </c:pt>
                <c:pt idx="170">
                  <c:v>1022</c:v>
                </c:pt>
                <c:pt idx="171">
                  <c:v>1072</c:v>
                </c:pt>
                <c:pt idx="172">
                  <c:v>440</c:v>
                </c:pt>
                <c:pt idx="173">
                  <c:v>366</c:v>
                </c:pt>
                <c:pt idx="174">
                  <c:v>1080</c:v>
                </c:pt>
                <c:pt idx="175">
                  <c:v>220</c:v>
                </c:pt>
                <c:pt idx="176">
                  <c:v>445</c:v>
                </c:pt>
                <c:pt idx="177">
                  <c:v>825</c:v>
                </c:pt>
                <c:pt idx="178">
                  <c:v>744</c:v>
                </c:pt>
                <c:pt idx="179">
                  <c:v>24</c:v>
                </c:pt>
                <c:pt idx="180">
                  <c:v>185</c:v>
                </c:pt>
                <c:pt idx="181">
                  <c:v>1320</c:v>
                </c:pt>
                <c:pt idx="182">
                  <c:v>1393</c:v>
                </c:pt>
                <c:pt idx="183">
                  <c:v>2368</c:v>
                </c:pt>
                <c:pt idx="184">
                  <c:v>2712</c:v>
                </c:pt>
                <c:pt idx="185">
                  <c:v>532</c:v>
                </c:pt>
                <c:pt idx="186">
                  <c:v>78</c:v>
                </c:pt>
                <c:pt idx="187">
                  <c:v>1214</c:v>
                </c:pt>
                <c:pt idx="188">
                  <c:v>750</c:v>
                </c:pt>
                <c:pt idx="189">
                  <c:v>1365</c:v>
                </c:pt>
                <c:pt idx="190">
                  <c:v>1932</c:v>
                </c:pt>
                <c:pt idx="191">
                  <c:v>1536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0E-4A83-8741-B49F5A02F742}"/>
            </c:ext>
          </c:extLst>
        </c:ser>
        <c:ser>
          <c:idx val="2"/>
          <c:order val="2"/>
          <c:tx>
            <c:strRef>
              <c:f>Calcul!$S$3</c:f>
              <c:strCache>
                <c:ptCount val="1"/>
                <c:pt idx="0">
                  <c:v>Bénefice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 w="25400">
              <a:noFill/>
            </a:ln>
            <a:effectLst/>
          </c:spPr>
          <c:cat>
            <c:strRef>
              <c:f>Calcul!$P$4:$P$196</c:f>
              <c:strCache>
                <c:ptCount val="192"/>
                <c:pt idx="0">
                  <c:v>01/01/2022</c:v>
                </c:pt>
                <c:pt idx="1">
                  <c:v>02/01/2022</c:v>
                </c:pt>
                <c:pt idx="2">
                  <c:v>03/01/2022</c:v>
                </c:pt>
                <c:pt idx="3">
                  <c:v>04/01/2022</c:v>
                </c:pt>
                <c:pt idx="4">
                  <c:v>09/01/2022</c:v>
                </c:pt>
                <c:pt idx="5">
                  <c:v>10/01/2022</c:v>
                </c:pt>
                <c:pt idx="6">
                  <c:v>11/01/2022</c:v>
                </c:pt>
                <c:pt idx="7">
                  <c:v>13/01/2022</c:v>
                </c:pt>
                <c:pt idx="8">
                  <c:v>14/01/2022</c:v>
                </c:pt>
                <c:pt idx="9">
                  <c:v>15/01/2022</c:v>
                </c:pt>
                <c:pt idx="10">
                  <c:v>16/01/2022</c:v>
                </c:pt>
                <c:pt idx="11">
                  <c:v>17/01/2022</c:v>
                </c:pt>
                <c:pt idx="12">
                  <c:v>18/01/2022</c:v>
                </c:pt>
                <c:pt idx="13">
                  <c:v>20/01/2022</c:v>
                </c:pt>
                <c:pt idx="14">
                  <c:v>22/01/2022</c:v>
                </c:pt>
                <c:pt idx="15">
                  <c:v>23/01/2022</c:v>
                </c:pt>
                <c:pt idx="16">
                  <c:v>24/01/2022</c:v>
                </c:pt>
                <c:pt idx="17">
                  <c:v>25/01/2022</c:v>
                </c:pt>
                <c:pt idx="18">
                  <c:v>28/01/2022</c:v>
                </c:pt>
                <c:pt idx="19">
                  <c:v>31/01/2022</c:v>
                </c:pt>
                <c:pt idx="20">
                  <c:v>01/02/2022</c:v>
                </c:pt>
                <c:pt idx="21">
                  <c:v>03/02/2022</c:v>
                </c:pt>
                <c:pt idx="22">
                  <c:v>05/02/2022</c:v>
                </c:pt>
                <c:pt idx="23">
                  <c:v>06/02/2022</c:v>
                </c:pt>
                <c:pt idx="24">
                  <c:v>08/02/2022</c:v>
                </c:pt>
                <c:pt idx="25">
                  <c:v>09/02/2022</c:v>
                </c:pt>
                <c:pt idx="26">
                  <c:v>12/02/2022</c:v>
                </c:pt>
                <c:pt idx="27">
                  <c:v>14/02/2022</c:v>
                </c:pt>
                <c:pt idx="28">
                  <c:v>16/02/2022</c:v>
                </c:pt>
                <c:pt idx="29">
                  <c:v>19/02/2022</c:v>
                </c:pt>
                <c:pt idx="30">
                  <c:v>20/02/2022</c:v>
                </c:pt>
                <c:pt idx="31">
                  <c:v>23/02/2022</c:v>
                </c:pt>
                <c:pt idx="32">
                  <c:v>27/02/2022</c:v>
                </c:pt>
                <c:pt idx="33">
                  <c:v>28/02/2022</c:v>
                </c:pt>
                <c:pt idx="34">
                  <c:v>04/03/2022</c:v>
                </c:pt>
                <c:pt idx="35">
                  <c:v>06/03/2022</c:v>
                </c:pt>
                <c:pt idx="36">
                  <c:v>07/03/2022</c:v>
                </c:pt>
                <c:pt idx="37">
                  <c:v>08/03/2022</c:v>
                </c:pt>
                <c:pt idx="38">
                  <c:v>09/03/2022</c:v>
                </c:pt>
                <c:pt idx="39">
                  <c:v>10/03/2022</c:v>
                </c:pt>
                <c:pt idx="40">
                  <c:v>14/03/2022</c:v>
                </c:pt>
                <c:pt idx="41">
                  <c:v>18/03/2022</c:v>
                </c:pt>
                <c:pt idx="42">
                  <c:v>19/03/2022</c:v>
                </c:pt>
                <c:pt idx="43">
                  <c:v>23/03/2022</c:v>
                </c:pt>
                <c:pt idx="44">
                  <c:v>25/03/2022</c:v>
                </c:pt>
                <c:pt idx="45">
                  <c:v>29/03/2022</c:v>
                </c:pt>
                <c:pt idx="46">
                  <c:v>30/03/2022</c:v>
                </c:pt>
                <c:pt idx="47">
                  <c:v>01/04/2022</c:v>
                </c:pt>
                <c:pt idx="48">
                  <c:v>02/04/2022</c:v>
                </c:pt>
                <c:pt idx="49">
                  <c:v>06/04/2022</c:v>
                </c:pt>
                <c:pt idx="50">
                  <c:v>07/04/2022</c:v>
                </c:pt>
                <c:pt idx="51">
                  <c:v>09/04/2022</c:v>
                </c:pt>
                <c:pt idx="52">
                  <c:v>13/04/2022</c:v>
                </c:pt>
                <c:pt idx="53">
                  <c:v>18/04/2022</c:v>
                </c:pt>
                <c:pt idx="54">
                  <c:v>20/04/2022</c:v>
                </c:pt>
                <c:pt idx="55">
                  <c:v>21/04/2022</c:v>
                </c:pt>
                <c:pt idx="56">
                  <c:v>23/04/2022</c:v>
                </c:pt>
                <c:pt idx="57">
                  <c:v>24/04/2022</c:v>
                </c:pt>
                <c:pt idx="58">
                  <c:v>25/04/2022</c:v>
                </c:pt>
                <c:pt idx="59">
                  <c:v>26/04/2022</c:v>
                </c:pt>
                <c:pt idx="60">
                  <c:v>28/04/2022</c:v>
                </c:pt>
                <c:pt idx="61">
                  <c:v>30/04/2022</c:v>
                </c:pt>
                <c:pt idx="62">
                  <c:v>01/05/2022</c:v>
                </c:pt>
                <c:pt idx="63">
                  <c:v>02/05/2022</c:v>
                </c:pt>
                <c:pt idx="64">
                  <c:v>04/05/2022</c:v>
                </c:pt>
                <c:pt idx="65">
                  <c:v>06/05/2022</c:v>
                </c:pt>
                <c:pt idx="66">
                  <c:v>07/05/2022</c:v>
                </c:pt>
                <c:pt idx="67">
                  <c:v>08/05/2022</c:v>
                </c:pt>
                <c:pt idx="68">
                  <c:v>09/05/2022</c:v>
                </c:pt>
                <c:pt idx="69">
                  <c:v>10/05/2022</c:v>
                </c:pt>
                <c:pt idx="70">
                  <c:v>12/05/2022</c:v>
                </c:pt>
                <c:pt idx="71">
                  <c:v>13/05/2022</c:v>
                </c:pt>
                <c:pt idx="72">
                  <c:v>14/05/2022</c:v>
                </c:pt>
                <c:pt idx="73">
                  <c:v>15/05/2022</c:v>
                </c:pt>
                <c:pt idx="74">
                  <c:v>16/05/2022</c:v>
                </c:pt>
                <c:pt idx="75">
                  <c:v>17/05/2022</c:v>
                </c:pt>
                <c:pt idx="76">
                  <c:v>18/05/2022</c:v>
                </c:pt>
                <c:pt idx="77">
                  <c:v>20/05/2022</c:v>
                </c:pt>
                <c:pt idx="78">
                  <c:v>22/05/2022</c:v>
                </c:pt>
                <c:pt idx="79">
                  <c:v>25/05/2022</c:v>
                </c:pt>
                <c:pt idx="80">
                  <c:v>26/05/2022</c:v>
                </c:pt>
                <c:pt idx="81">
                  <c:v>28/05/2022</c:v>
                </c:pt>
                <c:pt idx="82">
                  <c:v>30/05/2022</c:v>
                </c:pt>
                <c:pt idx="83">
                  <c:v>03/06/2022</c:v>
                </c:pt>
                <c:pt idx="84">
                  <c:v>10/06/2022</c:v>
                </c:pt>
                <c:pt idx="85">
                  <c:v>11/06/2022</c:v>
                </c:pt>
                <c:pt idx="86">
                  <c:v>13/06/2022</c:v>
                </c:pt>
                <c:pt idx="87">
                  <c:v>15/06/2022</c:v>
                </c:pt>
                <c:pt idx="88">
                  <c:v>16/06/2022</c:v>
                </c:pt>
                <c:pt idx="89">
                  <c:v>19/06/2022</c:v>
                </c:pt>
                <c:pt idx="90">
                  <c:v>21/06/2022</c:v>
                </c:pt>
                <c:pt idx="91">
                  <c:v>22/06/2022</c:v>
                </c:pt>
                <c:pt idx="92">
                  <c:v>23/06/2022</c:v>
                </c:pt>
                <c:pt idx="93">
                  <c:v>24/06/2022</c:v>
                </c:pt>
                <c:pt idx="94">
                  <c:v>25/06/2022</c:v>
                </c:pt>
                <c:pt idx="95">
                  <c:v>26/06/2022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08/07/2022</c:v>
                </c:pt>
                <c:pt idx="101">
                  <c:v>10/07/2022</c:v>
                </c:pt>
                <c:pt idx="102">
                  <c:v>12/07/2022</c:v>
                </c:pt>
                <c:pt idx="103">
                  <c:v>13/07/2022</c:v>
                </c:pt>
                <c:pt idx="104">
                  <c:v>14/07/2022</c:v>
                </c:pt>
                <c:pt idx="105">
                  <c:v>15/07/2022</c:v>
                </c:pt>
                <c:pt idx="106">
                  <c:v>17/07/2022</c:v>
                </c:pt>
                <c:pt idx="107">
                  <c:v>18/07/2022</c:v>
                </c:pt>
                <c:pt idx="108">
                  <c:v>20/07/2022</c:v>
                </c:pt>
                <c:pt idx="109">
                  <c:v>22/07/2022</c:v>
                </c:pt>
                <c:pt idx="110">
                  <c:v>23/07/2022</c:v>
                </c:pt>
                <c:pt idx="111">
                  <c:v>24/07/2022</c:v>
                </c:pt>
                <c:pt idx="112">
                  <c:v>25/07/2022</c:v>
                </c:pt>
                <c:pt idx="113">
                  <c:v>26/07/2022</c:v>
                </c:pt>
                <c:pt idx="114">
                  <c:v>03/08/2022</c:v>
                </c:pt>
                <c:pt idx="115">
                  <c:v>06/08/2022</c:v>
                </c:pt>
                <c:pt idx="116">
                  <c:v>08/08/2022</c:v>
                </c:pt>
                <c:pt idx="117">
                  <c:v>14/08/2022</c:v>
                </c:pt>
                <c:pt idx="118">
                  <c:v>15/08/2022</c:v>
                </c:pt>
                <c:pt idx="119">
                  <c:v>18/08/2022</c:v>
                </c:pt>
                <c:pt idx="120">
                  <c:v>19/08/2022</c:v>
                </c:pt>
                <c:pt idx="121">
                  <c:v>20/08/2022</c:v>
                </c:pt>
                <c:pt idx="122">
                  <c:v>21/08/2022</c:v>
                </c:pt>
                <c:pt idx="123">
                  <c:v>23/08/2022</c:v>
                </c:pt>
                <c:pt idx="124">
                  <c:v>24/08/2022</c:v>
                </c:pt>
                <c:pt idx="125">
                  <c:v>26/08/2022</c:v>
                </c:pt>
                <c:pt idx="126">
                  <c:v>27/08/2022</c:v>
                </c:pt>
                <c:pt idx="127">
                  <c:v>28/08/2022</c:v>
                </c:pt>
                <c:pt idx="128">
                  <c:v>30/08/2022</c:v>
                </c:pt>
                <c:pt idx="129">
                  <c:v>31/08/2022</c:v>
                </c:pt>
                <c:pt idx="130">
                  <c:v>04/09/2022</c:v>
                </c:pt>
                <c:pt idx="131">
                  <c:v>06/09/2022</c:v>
                </c:pt>
                <c:pt idx="132">
                  <c:v>09/09/2022</c:v>
                </c:pt>
                <c:pt idx="133">
                  <c:v>10/09/2022</c:v>
                </c:pt>
                <c:pt idx="134">
                  <c:v>14/09/2022</c:v>
                </c:pt>
                <c:pt idx="135">
                  <c:v>15/09/2022</c:v>
                </c:pt>
                <c:pt idx="136">
                  <c:v>18/09/2022</c:v>
                </c:pt>
                <c:pt idx="137">
                  <c:v>19/09/2022</c:v>
                </c:pt>
                <c:pt idx="138">
                  <c:v>20/09/2022</c:v>
                </c:pt>
                <c:pt idx="139">
                  <c:v>21/09/2022</c:v>
                </c:pt>
                <c:pt idx="140">
                  <c:v>22/09/2022</c:v>
                </c:pt>
                <c:pt idx="141">
                  <c:v>23/09/2022</c:v>
                </c:pt>
                <c:pt idx="142">
                  <c:v>24/09/2022</c:v>
                </c:pt>
                <c:pt idx="143">
                  <c:v>27/09/2022</c:v>
                </c:pt>
                <c:pt idx="144">
                  <c:v>29/09/2022</c:v>
                </c:pt>
                <c:pt idx="145">
                  <c:v>03/10/2022</c:v>
                </c:pt>
                <c:pt idx="146">
                  <c:v>04/10/2022</c:v>
                </c:pt>
                <c:pt idx="147">
                  <c:v>06/10/2022</c:v>
                </c:pt>
                <c:pt idx="148">
                  <c:v>09/10/2022</c:v>
                </c:pt>
                <c:pt idx="149">
                  <c:v>10/10/2022</c:v>
                </c:pt>
                <c:pt idx="150">
                  <c:v>11/10/2022</c:v>
                </c:pt>
                <c:pt idx="151">
                  <c:v>13/10/2022</c:v>
                </c:pt>
                <c:pt idx="152">
                  <c:v>14/10/2022</c:v>
                </c:pt>
                <c:pt idx="153">
                  <c:v>15/10/2022</c:v>
                </c:pt>
                <c:pt idx="154">
                  <c:v>16/10/2022</c:v>
                </c:pt>
                <c:pt idx="155">
                  <c:v>23/10/2022</c:v>
                </c:pt>
                <c:pt idx="156">
                  <c:v>30/10/2022</c:v>
                </c:pt>
                <c:pt idx="157">
                  <c:v>31/10/2022</c:v>
                </c:pt>
                <c:pt idx="158">
                  <c:v>01/11/2022</c:v>
                </c:pt>
                <c:pt idx="159">
                  <c:v>02/11/2022</c:v>
                </c:pt>
                <c:pt idx="160">
                  <c:v>03/11/2022</c:v>
                </c:pt>
                <c:pt idx="161">
                  <c:v>04/11/2022</c:v>
                </c:pt>
                <c:pt idx="162">
                  <c:v>05/11/2022</c:v>
                </c:pt>
                <c:pt idx="163">
                  <c:v>06/11/2022</c:v>
                </c:pt>
                <c:pt idx="164">
                  <c:v>07/11/2022</c:v>
                </c:pt>
                <c:pt idx="165">
                  <c:v>08/11/2022</c:v>
                </c:pt>
                <c:pt idx="166">
                  <c:v>09/11/2022</c:v>
                </c:pt>
                <c:pt idx="167">
                  <c:v>10/11/2022</c:v>
                </c:pt>
                <c:pt idx="168">
                  <c:v>13/11/2022</c:v>
                </c:pt>
                <c:pt idx="169">
                  <c:v>14/11/2022</c:v>
                </c:pt>
                <c:pt idx="170">
                  <c:v>15/11/2022</c:v>
                </c:pt>
                <c:pt idx="171">
                  <c:v>16/11/2022</c:v>
                </c:pt>
                <c:pt idx="172">
                  <c:v>18/11/2022</c:v>
                </c:pt>
                <c:pt idx="173">
                  <c:v>21/11/2022</c:v>
                </c:pt>
                <c:pt idx="174">
                  <c:v>23/11/2022</c:v>
                </c:pt>
                <c:pt idx="175">
                  <c:v>25/11/2022</c:v>
                </c:pt>
                <c:pt idx="176">
                  <c:v>26/11/2022</c:v>
                </c:pt>
                <c:pt idx="177">
                  <c:v>27/11/2022</c:v>
                </c:pt>
                <c:pt idx="178">
                  <c:v>28/11/2022</c:v>
                </c:pt>
                <c:pt idx="179">
                  <c:v>30/11/2022</c:v>
                </c:pt>
                <c:pt idx="180">
                  <c:v>03/12/2022</c:v>
                </c:pt>
                <c:pt idx="181">
                  <c:v>04/12/2022</c:v>
                </c:pt>
                <c:pt idx="182">
                  <c:v>07/12/2022</c:v>
                </c:pt>
                <c:pt idx="183">
                  <c:v>11/12/2022</c:v>
                </c:pt>
                <c:pt idx="184">
                  <c:v>12/12/2022</c:v>
                </c:pt>
                <c:pt idx="185">
                  <c:v>14/12/2022</c:v>
                </c:pt>
                <c:pt idx="186">
                  <c:v>15/12/2022</c:v>
                </c:pt>
                <c:pt idx="187">
                  <c:v>19/12/2022</c:v>
                </c:pt>
                <c:pt idx="188">
                  <c:v>21/12/2022</c:v>
                </c:pt>
                <c:pt idx="189">
                  <c:v>29/12/2022</c:v>
                </c:pt>
                <c:pt idx="190">
                  <c:v>30/12/2022</c:v>
                </c:pt>
                <c:pt idx="191">
                  <c:v>31/12/2022</c:v>
                </c:pt>
              </c:strCache>
            </c:strRef>
          </c:cat>
          <c:val>
            <c:numRef>
              <c:f>Calcul!$S$4:$S$196</c:f>
              <c:numCache>
                <c:formatCode>General</c:formatCode>
                <c:ptCount val="192"/>
                <c:pt idx="0">
                  <c:v>20.569999999999993</c:v>
                </c:pt>
                <c:pt idx="1">
                  <c:v>146.10000000000002</c:v>
                </c:pt>
                <c:pt idx="2">
                  <c:v>144.72000000000003</c:v>
                </c:pt>
                <c:pt idx="3">
                  <c:v>175.47000000000003</c:v>
                </c:pt>
                <c:pt idx="4">
                  <c:v>341.76</c:v>
                </c:pt>
                <c:pt idx="5">
                  <c:v>46.199999999999932</c:v>
                </c:pt>
                <c:pt idx="6">
                  <c:v>56.960000000000008</c:v>
                </c:pt>
                <c:pt idx="7">
                  <c:v>360</c:v>
                </c:pt>
                <c:pt idx="8">
                  <c:v>61.600000000000023</c:v>
                </c:pt>
                <c:pt idx="9">
                  <c:v>205.69999999999982</c:v>
                </c:pt>
                <c:pt idx="10">
                  <c:v>381.92000000000007</c:v>
                </c:pt>
                <c:pt idx="11">
                  <c:v>100.80000000000001</c:v>
                </c:pt>
                <c:pt idx="12">
                  <c:v>104.58000000000004</c:v>
                </c:pt>
                <c:pt idx="13">
                  <c:v>316.11999999999995</c:v>
                </c:pt>
                <c:pt idx="14">
                  <c:v>35.279999999999973</c:v>
                </c:pt>
                <c:pt idx="15">
                  <c:v>525</c:v>
                </c:pt>
                <c:pt idx="16">
                  <c:v>799.19999999999982</c:v>
                </c:pt>
                <c:pt idx="17">
                  <c:v>318.92000000000007</c:v>
                </c:pt>
                <c:pt idx="18">
                  <c:v>40.04000000000002</c:v>
                </c:pt>
                <c:pt idx="19">
                  <c:v>373.68000000000006</c:v>
                </c:pt>
                <c:pt idx="20">
                  <c:v>203.49000000000024</c:v>
                </c:pt>
                <c:pt idx="21">
                  <c:v>277.76</c:v>
                </c:pt>
                <c:pt idx="22">
                  <c:v>73.259999999999991</c:v>
                </c:pt>
                <c:pt idx="23">
                  <c:v>226.80000000000007</c:v>
                </c:pt>
                <c:pt idx="24">
                  <c:v>263.23</c:v>
                </c:pt>
                <c:pt idx="25">
                  <c:v>398.72</c:v>
                </c:pt>
                <c:pt idx="26">
                  <c:v>211.63999999999987</c:v>
                </c:pt>
                <c:pt idx="27">
                  <c:v>67.710000000000008</c:v>
                </c:pt>
                <c:pt idx="28">
                  <c:v>28.480000000000004</c:v>
                </c:pt>
                <c:pt idx="29">
                  <c:v>491.40000000000009</c:v>
                </c:pt>
                <c:pt idx="30">
                  <c:v>127.01999999999998</c:v>
                </c:pt>
                <c:pt idx="31">
                  <c:v>165.48000000000002</c:v>
                </c:pt>
                <c:pt idx="32">
                  <c:v>487.34000000000015</c:v>
                </c:pt>
                <c:pt idx="33">
                  <c:v>281.40000000000009</c:v>
                </c:pt>
                <c:pt idx="34">
                  <c:v>86.579999999999984</c:v>
                </c:pt>
                <c:pt idx="35">
                  <c:v>9.6800000000000068</c:v>
                </c:pt>
                <c:pt idx="36">
                  <c:v>9.9399999999999977</c:v>
                </c:pt>
                <c:pt idx="37">
                  <c:v>36.480000000000018</c:v>
                </c:pt>
                <c:pt idx="38">
                  <c:v>213.08000000000004</c:v>
                </c:pt>
                <c:pt idx="39">
                  <c:v>296.40000000000009</c:v>
                </c:pt>
                <c:pt idx="40">
                  <c:v>93.859999999999985</c:v>
                </c:pt>
                <c:pt idx="41">
                  <c:v>211.20000000000005</c:v>
                </c:pt>
                <c:pt idx="42">
                  <c:v>215.27999999999997</c:v>
                </c:pt>
                <c:pt idx="43">
                  <c:v>256.31999999999994</c:v>
                </c:pt>
                <c:pt idx="44">
                  <c:v>597.83999999999992</c:v>
                </c:pt>
                <c:pt idx="45">
                  <c:v>341.76</c:v>
                </c:pt>
                <c:pt idx="46">
                  <c:v>76.440000000000055</c:v>
                </c:pt>
                <c:pt idx="47">
                  <c:v>75.600000000000023</c:v>
                </c:pt>
                <c:pt idx="48">
                  <c:v>113.40000000000003</c:v>
                </c:pt>
                <c:pt idx="49">
                  <c:v>50.400000000000006</c:v>
                </c:pt>
                <c:pt idx="50">
                  <c:v>46.620000000000005</c:v>
                </c:pt>
                <c:pt idx="51">
                  <c:v>406.8</c:v>
                </c:pt>
                <c:pt idx="52">
                  <c:v>50.960000000000008</c:v>
                </c:pt>
                <c:pt idx="53">
                  <c:v>322.92000000000007</c:v>
                </c:pt>
                <c:pt idx="54">
                  <c:v>109.10000000000001</c:v>
                </c:pt>
                <c:pt idx="55">
                  <c:v>199.8</c:v>
                </c:pt>
                <c:pt idx="56">
                  <c:v>91.200000000000045</c:v>
                </c:pt>
                <c:pt idx="57">
                  <c:v>13.199999999999989</c:v>
                </c:pt>
                <c:pt idx="58">
                  <c:v>123.08000000000004</c:v>
                </c:pt>
                <c:pt idx="59">
                  <c:v>18.240000000000009</c:v>
                </c:pt>
                <c:pt idx="60">
                  <c:v>486.07999999999993</c:v>
                </c:pt>
                <c:pt idx="61">
                  <c:v>120.28000000000003</c:v>
                </c:pt>
                <c:pt idx="62">
                  <c:v>177.89999999999998</c:v>
                </c:pt>
                <c:pt idx="63">
                  <c:v>40.319999999999993</c:v>
                </c:pt>
                <c:pt idx="64">
                  <c:v>152.5</c:v>
                </c:pt>
                <c:pt idx="65">
                  <c:v>23.099999999999966</c:v>
                </c:pt>
                <c:pt idx="66">
                  <c:v>24</c:v>
                </c:pt>
                <c:pt idx="67">
                  <c:v>143.99</c:v>
                </c:pt>
                <c:pt idx="68">
                  <c:v>273.36000000000013</c:v>
                </c:pt>
                <c:pt idx="69">
                  <c:v>11.159999999999997</c:v>
                </c:pt>
                <c:pt idx="70">
                  <c:v>30.800000000000011</c:v>
                </c:pt>
                <c:pt idx="71">
                  <c:v>105.85000000000002</c:v>
                </c:pt>
                <c:pt idx="72">
                  <c:v>162.68000000000006</c:v>
                </c:pt>
                <c:pt idx="73">
                  <c:v>76.25</c:v>
                </c:pt>
                <c:pt idx="74">
                  <c:v>356.7199999999998</c:v>
                </c:pt>
                <c:pt idx="75">
                  <c:v>72.960000000000036</c:v>
                </c:pt>
                <c:pt idx="76">
                  <c:v>99.840000000000032</c:v>
                </c:pt>
                <c:pt idx="77">
                  <c:v>91.200000000000045</c:v>
                </c:pt>
                <c:pt idx="78">
                  <c:v>44.639999999999986</c:v>
                </c:pt>
                <c:pt idx="79">
                  <c:v>264.60000000000014</c:v>
                </c:pt>
                <c:pt idx="80">
                  <c:v>27.860000000000014</c:v>
                </c:pt>
                <c:pt idx="81">
                  <c:v>835</c:v>
                </c:pt>
                <c:pt idx="82">
                  <c:v>219.2600000000001</c:v>
                </c:pt>
                <c:pt idx="83">
                  <c:v>162.68000000000006</c:v>
                </c:pt>
                <c:pt idx="84">
                  <c:v>38.480000000000018</c:v>
                </c:pt>
                <c:pt idx="85">
                  <c:v>291.39</c:v>
                </c:pt>
                <c:pt idx="86">
                  <c:v>39.960000000000008</c:v>
                </c:pt>
                <c:pt idx="87">
                  <c:v>630</c:v>
                </c:pt>
                <c:pt idx="88">
                  <c:v>91.649999999999977</c:v>
                </c:pt>
                <c:pt idx="89">
                  <c:v>302.40000000000009</c:v>
                </c:pt>
                <c:pt idx="90">
                  <c:v>318.92000000000007</c:v>
                </c:pt>
                <c:pt idx="91">
                  <c:v>275.52</c:v>
                </c:pt>
                <c:pt idx="92">
                  <c:v>38.720000000000027</c:v>
                </c:pt>
                <c:pt idx="93">
                  <c:v>85.470000000000027</c:v>
                </c:pt>
                <c:pt idx="94">
                  <c:v>148.19000000000005</c:v>
                </c:pt>
                <c:pt idx="95">
                  <c:v>206.16000000000003</c:v>
                </c:pt>
                <c:pt idx="96">
                  <c:v>370.5</c:v>
                </c:pt>
                <c:pt idx="97">
                  <c:v>33.110000000000014</c:v>
                </c:pt>
                <c:pt idx="98">
                  <c:v>39.069999999999993</c:v>
                </c:pt>
                <c:pt idx="99">
                  <c:v>71.759999999999991</c:v>
                </c:pt>
                <c:pt idx="100">
                  <c:v>24.42</c:v>
                </c:pt>
                <c:pt idx="101">
                  <c:v>341.76</c:v>
                </c:pt>
                <c:pt idx="102">
                  <c:v>57.720000000000027</c:v>
                </c:pt>
                <c:pt idx="103">
                  <c:v>9.3100000000000023</c:v>
                </c:pt>
                <c:pt idx="104">
                  <c:v>222.29999999999995</c:v>
                </c:pt>
                <c:pt idx="105">
                  <c:v>9.6800000000000068</c:v>
                </c:pt>
                <c:pt idx="106">
                  <c:v>287.03999999999996</c:v>
                </c:pt>
                <c:pt idx="107">
                  <c:v>195.36000000000013</c:v>
                </c:pt>
                <c:pt idx="108">
                  <c:v>336</c:v>
                </c:pt>
                <c:pt idx="109">
                  <c:v>19.799999999999955</c:v>
                </c:pt>
                <c:pt idx="110">
                  <c:v>24.42</c:v>
                </c:pt>
                <c:pt idx="111">
                  <c:v>156.12</c:v>
                </c:pt>
                <c:pt idx="112">
                  <c:v>414.74000000000012</c:v>
                </c:pt>
                <c:pt idx="113">
                  <c:v>106.05999999999997</c:v>
                </c:pt>
                <c:pt idx="114">
                  <c:v>105.85000000000002</c:v>
                </c:pt>
                <c:pt idx="115">
                  <c:v>32.759999999999991</c:v>
                </c:pt>
                <c:pt idx="116">
                  <c:v>750.97999999999979</c:v>
                </c:pt>
                <c:pt idx="117">
                  <c:v>745.92000000000007</c:v>
                </c:pt>
                <c:pt idx="118">
                  <c:v>70.039999999999992</c:v>
                </c:pt>
                <c:pt idx="119">
                  <c:v>81.44</c:v>
                </c:pt>
                <c:pt idx="120">
                  <c:v>14.189999999999998</c:v>
                </c:pt>
                <c:pt idx="121">
                  <c:v>455.78</c:v>
                </c:pt>
                <c:pt idx="122">
                  <c:v>14.560000000000002</c:v>
                </c:pt>
                <c:pt idx="123">
                  <c:v>152.41999999999996</c:v>
                </c:pt>
                <c:pt idx="124">
                  <c:v>113.05000000000007</c:v>
                </c:pt>
                <c:pt idx="125">
                  <c:v>930.08</c:v>
                </c:pt>
                <c:pt idx="126">
                  <c:v>83.25</c:v>
                </c:pt>
                <c:pt idx="127">
                  <c:v>231.24000000000024</c:v>
                </c:pt>
                <c:pt idx="128">
                  <c:v>166.13000000000002</c:v>
                </c:pt>
                <c:pt idx="129">
                  <c:v>48.359999999999985</c:v>
                </c:pt>
                <c:pt idx="130">
                  <c:v>37.800000000000011</c:v>
                </c:pt>
                <c:pt idx="131">
                  <c:v>271.32000000000016</c:v>
                </c:pt>
                <c:pt idx="132">
                  <c:v>352.74000000000007</c:v>
                </c:pt>
                <c:pt idx="133">
                  <c:v>57.180000000000007</c:v>
                </c:pt>
                <c:pt idx="134">
                  <c:v>18.329999999999984</c:v>
                </c:pt>
                <c:pt idx="135">
                  <c:v>281.40000000000009</c:v>
                </c:pt>
                <c:pt idx="136">
                  <c:v>93.240000000000009</c:v>
                </c:pt>
                <c:pt idx="137">
                  <c:v>197.60000000000002</c:v>
                </c:pt>
                <c:pt idx="138">
                  <c:v>207</c:v>
                </c:pt>
                <c:pt idx="139">
                  <c:v>204.24000000000007</c:v>
                </c:pt>
                <c:pt idx="140">
                  <c:v>192.96000000000004</c:v>
                </c:pt>
                <c:pt idx="141">
                  <c:v>254.03999999999996</c:v>
                </c:pt>
                <c:pt idx="142">
                  <c:v>626.56000000000006</c:v>
                </c:pt>
                <c:pt idx="143">
                  <c:v>103.68</c:v>
                </c:pt>
                <c:pt idx="144">
                  <c:v>42.899999999999977</c:v>
                </c:pt>
                <c:pt idx="145">
                  <c:v>22</c:v>
                </c:pt>
                <c:pt idx="146">
                  <c:v>70.950000000000045</c:v>
                </c:pt>
                <c:pt idx="147">
                  <c:v>1.7000000000000002</c:v>
                </c:pt>
                <c:pt idx="148">
                  <c:v>110.88000000000011</c:v>
                </c:pt>
                <c:pt idx="149">
                  <c:v>612.96</c:v>
                </c:pt>
                <c:pt idx="150">
                  <c:v>116.20000000000005</c:v>
                </c:pt>
                <c:pt idx="151">
                  <c:v>567</c:v>
                </c:pt>
                <c:pt idx="152">
                  <c:v>91.200000000000045</c:v>
                </c:pt>
                <c:pt idx="153">
                  <c:v>37.199999999999989</c:v>
                </c:pt>
                <c:pt idx="154">
                  <c:v>18.899999999999977</c:v>
                </c:pt>
                <c:pt idx="155">
                  <c:v>181.44000000000005</c:v>
                </c:pt>
                <c:pt idx="156">
                  <c:v>126</c:v>
                </c:pt>
                <c:pt idx="157">
                  <c:v>63.360000000000014</c:v>
                </c:pt>
                <c:pt idx="158">
                  <c:v>317.54999999999995</c:v>
                </c:pt>
                <c:pt idx="159">
                  <c:v>863.49999999999977</c:v>
                </c:pt>
                <c:pt idx="160">
                  <c:v>167.75</c:v>
                </c:pt>
                <c:pt idx="161">
                  <c:v>116.20000000000005</c:v>
                </c:pt>
                <c:pt idx="162">
                  <c:v>900</c:v>
                </c:pt>
                <c:pt idx="163">
                  <c:v>803.4</c:v>
                </c:pt>
                <c:pt idx="164">
                  <c:v>327.60000000000014</c:v>
                </c:pt>
                <c:pt idx="165">
                  <c:v>669.3</c:v>
                </c:pt>
                <c:pt idx="166">
                  <c:v>72.960000000000036</c:v>
                </c:pt>
                <c:pt idx="167">
                  <c:v>85.470000000000027</c:v>
                </c:pt>
                <c:pt idx="168">
                  <c:v>91.200000000000045</c:v>
                </c:pt>
                <c:pt idx="169">
                  <c:v>37.800000000000011</c:v>
                </c:pt>
                <c:pt idx="170">
                  <c:v>296.38000000000011</c:v>
                </c:pt>
                <c:pt idx="171">
                  <c:v>182.24</c:v>
                </c:pt>
                <c:pt idx="172">
                  <c:v>26.399999999999977</c:v>
                </c:pt>
                <c:pt idx="173">
                  <c:v>91.5</c:v>
                </c:pt>
                <c:pt idx="174">
                  <c:v>75.599999999999909</c:v>
                </c:pt>
                <c:pt idx="175">
                  <c:v>24.200000000000017</c:v>
                </c:pt>
                <c:pt idx="176">
                  <c:v>142.39999999999998</c:v>
                </c:pt>
                <c:pt idx="177">
                  <c:v>49.5</c:v>
                </c:pt>
                <c:pt idx="178">
                  <c:v>89.279999999999973</c:v>
                </c:pt>
                <c:pt idx="179">
                  <c:v>7.4399999999999977</c:v>
                </c:pt>
                <c:pt idx="180">
                  <c:v>24.050000000000011</c:v>
                </c:pt>
                <c:pt idx="181">
                  <c:v>157.80000000000004</c:v>
                </c:pt>
                <c:pt idx="182">
                  <c:v>181.95999999999998</c:v>
                </c:pt>
                <c:pt idx="183">
                  <c:v>483.5200000000001</c:v>
                </c:pt>
                <c:pt idx="184">
                  <c:v>838.31999999999994</c:v>
                </c:pt>
                <c:pt idx="185">
                  <c:v>90.440000000000055</c:v>
                </c:pt>
                <c:pt idx="186">
                  <c:v>24.179999999999993</c:v>
                </c:pt>
                <c:pt idx="187">
                  <c:v>124.61999999999996</c:v>
                </c:pt>
                <c:pt idx="188">
                  <c:v>105</c:v>
                </c:pt>
                <c:pt idx="189">
                  <c:v>216.30000000000018</c:v>
                </c:pt>
                <c:pt idx="190">
                  <c:v>502.31999999999971</c:v>
                </c:pt>
                <c:pt idx="191">
                  <c:v>336.00000000000006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0E-4A83-8741-B49F5A02F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612080"/>
        <c:axId val="292613520"/>
      </c:areaChart>
      <c:catAx>
        <c:axId val="292612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2613520"/>
        <c:crosses val="autoZero"/>
        <c:auto val="1"/>
        <c:lblAlgn val="ctr"/>
        <c:lblOffset val="100"/>
        <c:noMultiLvlLbl val="0"/>
      </c:catAx>
      <c:valAx>
        <c:axId val="292613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2612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[Aimé_Blanchard_MISSONGO_AS2B.xlsx]Calcul!Tableau croisé dynamique17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186257001379981"/>
          <c:y val="0.1216622417874999"/>
          <c:w val="0.68192696918039875"/>
          <c:h val="0.76250047274350063"/>
        </c:manualLayout>
      </c:layout>
      <c:pieChart>
        <c:varyColors val="1"/>
        <c:ser>
          <c:idx val="0"/>
          <c:order val="0"/>
          <c:tx>
            <c:strRef>
              <c:f>Calcul!$AL$3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34-45D7-A59E-C638CEF84191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34-45D7-A59E-C638CEF84191}"/>
              </c:ext>
            </c:extLst>
          </c:dPt>
          <c:dPt>
            <c:idx val="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34-45D7-A59E-C638CEF84191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34-45D7-A59E-C638CEF841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Calcul!$AK$4:$AK$7</c:f>
              <c:strCache>
                <c:ptCount val="4"/>
                <c:pt idx="0">
                  <c:v>Category01</c:v>
                </c:pt>
                <c:pt idx="1">
                  <c:v>Category02</c:v>
                </c:pt>
                <c:pt idx="2">
                  <c:v>Category04</c:v>
                </c:pt>
                <c:pt idx="3">
                  <c:v>Category05</c:v>
                </c:pt>
              </c:strCache>
            </c:strRef>
          </c:cat>
          <c:val>
            <c:numRef>
              <c:f>Calcul!$AL$4:$AL$7</c:f>
              <c:numCache>
                <c:formatCode>0.00%</c:formatCode>
                <c:ptCount val="4"/>
                <c:pt idx="0">
                  <c:v>0.20047393364928909</c:v>
                </c:pt>
                <c:pt idx="1">
                  <c:v>0.28009478672985783</c:v>
                </c:pt>
                <c:pt idx="2">
                  <c:v>0.30189573459715641</c:v>
                </c:pt>
                <c:pt idx="3">
                  <c:v>0.21753554502369668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34-45D7-A59E-C638CEF8419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3144690835906995E-2"/>
          <c:y val="0.89409667541557303"/>
          <c:w val="0.9"/>
          <c:h val="8.1052440491048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[Aimé_Blanchard_MISSONGO_AS2B.xlsx]Calcul!Tableau croisé dynamique11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Calcul!$Y$3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Calcul!$X$4:$X$47</c:f>
              <c:strCache>
                <c:ptCount val="44"/>
                <c:pt idx="0">
                  <c:v>Product35</c:v>
                </c:pt>
                <c:pt idx="1">
                  <c:v>Product25</c:v>
                </c:pt>
                <c:pt idx="2">
                  <c:v>Product09</c:v>
                </c:pt>
                <c:pt idx="3">
                  <c:v>Product07</c:v>
                </c:pt>
                <c:pt idx="4">
                  <c:v>Product28</c:v>
                </c:pt>
                <c:pt idx="5">
                  <c:v>Product15</c:v>
                </c:pt>
                <c:pt idx="6">
                  <c:v>Product16</c:v>
                </c:pt>
                <c:pt idx="7">
                  <c:v>Product39</c:v>
                </c:pt>
                <c:pt idx="8">
                  <c:v>Product18</c:v>
                </c:pt>
                <c:pt idx="9">
                  <c:v>Product29</c:v>
                </c:pt>
                <c:pt idx="10">
                  <c:v>Product31</c:v>
                </c:pt>
                <c:pt idx="11">
                  <c:v>Product24</c:v>
                </c:pt>
                <c:pt idx="12">
                  <c:v>Product26</c:v>
                </c:pt>
                <c:pt idx="13">
                  <c:v>Product13</c:v>
                </c:pt>
                <c:pt idx="14">
                  <c:v>Product04</c:v>
                </c:pt>
                <c:pt idx="15">
                  <c:v>Product22</c:v>
                </c:pt>
                <c:pt idx="16">
                  <c:v>Product06</c:v>
                </c:pt>
                <c:pt idx="17">
                  <c:v>Product03</c:v>
                </c:pt>
                <c:pt idx="18">
                  <c:v>Product23</c:v>
                </c:pt>
                <c:pt idx="19">
                  <c:v>Product11</c:v>
                </c:pt>
                <c:pt idx="20">
                  <c:v>Product21</c:v>
                </c:pt>
                <c:pt idx="21">
                  <c:v>Product37</c:v>
                </c:pt>
                <c:pt idx="22">
                  <c:v>Product40</c:v>
                </c:pt>
                <c:pt idx="23">
                  <c:v>Product27</c:v>
                </c:pt>
                <c:pt idx="24">
                  <c:v>Product20</c:v>
                </c:pt>
                <c:pt idx="25">
                  <c:v>Product01</c:v>
                </c:pt>
                <c:pt idx="26">
                  <c:v>Product36</c:v>
                </c:pt>
                <c:pt idx="27">
                  <c:v>Product38</c:v>
                </c:pt>
                <c:pt idx="28">
                  <c:v>Product43</c:v>
                </c:pt>
                <c:pt idx="29">
                  <c:v>Product34</c:v>
                </c:pt>
                <c:pt idx="30">
                  <c:v>Product08</c:v>
                </c:pt>
                <c:pt idx="31">
                  <c:v>Product14</c:v>
                </c:pt>
                <c:pt idx="32">
                  <c:v>Product42</c:v>
                </c:pt>
                <c:pt idx="33">
                  <c:v>Product12</c:v>
                </c:pt>
                <c:pt idx="34">
                  <c:v>Product10</c:v>
                </c:pt>
                <c:pt idx="35">
                  <c:v>Product17</c:v>
                </c:pt>
                <c:pt idx="36">
                  <c:v>Product44</c:v>
                </c:pt>
                <c:pt idx="37">
                  <c:v>Product02</c:v>
                </c:pt>
                <c:pt idx="38">
                  <c:v>Product33</c:v>
                </c:pt>
                <c:pt idx="39">
                  <c:v>Product05</c:v>
                </c:pt>
                <c:pt idx="40">
                  <c:v>Product19</c:v>
                </c:pt>
                <c:pt idx="41">
                  <c:v>Product32</c:v>
                </c:pt>
                <c:pt idx="42">
                  <c:v>Product41</c:v>
                </c:pt>
                <c:pt idx="43">
                  <c:v>Product30</c:v>
                </c:pt>
              </c:strCache>
            </c:strRef>
          </c:cat>
          <c:val>
            <c:numRef>
              <c:f>Calcul!$Y$4:$Y$47</c:f>
              <c:numCache>
                <c:formatCode>0.00%</c:formatCode>
                <c:ptCount val="44"/>
                <c:pt idx="0">
                  <c:v>6.5708484100134674E-4</c:v>
                </c:pt>
                <c:pt idx="1">
                  <c:v>7.3913871915624147E-4</c:v>
                </c:pt>
                <c:pt idx="2">
                  <c:v>1.1012125480321078E-3</c:v>
                </c:pt>
                <c:pt idx="3">
                  <c:v>5.572611844526348E-3</c:v>
                </c:pt>
                <c:pt idx="4">
                  <c:v>5.8577222179672303E-3</c:v>
                </c:pt>
                <c:pt idx="5">
                  <c:v>6.3136186087174194E-3</c:v>
                </c:pt>
                <c:pt idx="6">
                  <c:v>6.4499858962599865E-3</c:v>
                </c:pt>
                <c:pt idx="7">
                  <c:v>8.9420980761004184E-3</c:v>
                </c:pt>
                <c:pt idx="8">
                  <c:v>9.1926496163969532E-3</c:v>
                </c:pt>
                <c:pt idx="9">
                  <c:v>1.016921685948005E-2</c:v>
                </c:pt>
                <c:pt idx="10">
                  <c:v>1.0215217468462727E-2</c:v>
                </c:pt>
                <c:pt idx="11">
                  <c:v>1.0262292203340437E-2</c:v>
                </c:pt>
                <c:pt idx="12">
                  <c:v>1.0480012852149839E-2</c:v>
                </c:pt>
                <c:pt idx="13">
                  <c:v>1.0832419547970462E-2</c:v>
                </c:pt>
                <c:pt idx="14">
                  <c:v>1.1860591535140731E-2</c:v>
                </c:pt>
                <c:pt idx="15">
                  <c:v>1.1900661101137825E-2</c:v>
                </c:pt>
                <c:pt idx="16">
                  <c:v>1.1978838785845448E-2</c:v>
                </c:pt>
                <c:pt idx="17">
                  <c:v>1.322996194792264E-2</c:v>
                </c:pt>
                <c:pt idx="18">
                  <c:v>1.3261905518018226E-2</c:v>
                </c:pt>
                <c:pt idx="19">
                  <c:v>1.3335973503649226E-2</c:v>
                </c:pt>
                <c:pt idx="20">
                  <c:v>1.4422521898157918E-2</c:v>
                </c:pt>
                <c:pt idx="21">
                  <c:v>1.521933650776453E-2</c:v>
                </c:pt>
                <c:pt idx="22">
                  <c:v>1.5601912130897655E-2</c:v>
                </c:pt>
                <c:pt idx="23">
                  <c:v>1.5738653027447185E-2</c:v>
                </c:pt>
                <c:pt idx="24">
                  <c:v>1.6380419899162928E-2</c:v>
                </c:pt>
                <c:pt idx="25">
                  <c:v>1.6979595344084556E-2</c:v>
                </c:pt>
                <c:pt idx="26">
                  <c:v>1.7089810001139506E-2</c:v>
                </c:pt>
                <c:pt idx="27">
                  <c:v>2.0154711489784597E-2</c:v>
                </c:pt>
                <c:pt idx="28">
                  <c:v>2.0175633594174687E-2</c:v>
                </c:pt>
                <c:pt idx="29">
                  <c:v>2.1781405106114298E-2</c:v>
                </c:pt>
                <c:pt idx="30">
                  <c:v>3.4025226080150343E-2</c:v>
                </c:pt>
                <c:pt idx="31">
                  <c:v>3.4259945938776688E-2</c:v>
                </c:pt>
                <c:pt idx="32">
                  <c:v>3.6314795477089358E-2</c:v>
                </c:pt>
                <c:pt idx="33">
                  <c:v>3.6502113692956917E-2</c:v>
                </c:pt>
                <c:pt idx="34">
                  <c:v>4.296354136505523E-2</c:v>
                </c:pt>
                <c:pt idx="35">
                  <c:v>4.3930815084090052E-2</c:v>
                </c:pt>
                <c:pt idx="36">
                  <c:v>4.4465449573058306E-2</c:v>
                </c:pt>
                <c:pt idx="37">
                  <c:v>4.6682445420394195E-2</c:v>
                </c:pt>
                <c:pt idx="38">
                  <c:v>4.8075072993859741E-2</c:v>
                </c:pt>
                <c:pt idx="39">
                  <c:v>5.0143419157549038E-2</c:v>
                </c:pt>
                <c:pt idx="40">
                  <c:v>5.393980038070758E-2</c:v>
                </c:pt>
                <c:pt idx="41">
                  <c:v>5.5413127499677757E-2</c:v>
                </c:pt>
                <c:pt idx="42">
                  <c:v>6.2527016601316224E-2</c:v>
                </c:pt>
                <c:pt idx="43">
                  <c:v>6.4860018045315035E-2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B-41A1-A475-FB2D4D3554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3147104"/>
        <c:axId val="1163149984"/>
      </c:barChart>
      <c:catAx>
        <c:axId val="1163147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3149984"/>
        <c:crosses val="autoZero"/>
        <c:auto val="1"/>
        <c:lblAlgn val="ctr"/>
        <c:lblOffset val="100"/>
        <c:noMultiLvlLbl val="0"/>
      </c:catAx>
      <c:valAx>
        <c:axId val="1163149984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314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chart" Target="../charts/chart3.xml"/><Relationship Id="rId18" Type="http://schemas.openxmlformats.org/officeDocument/2006/relationships/image" Target="../media/image13.jpeg"/><Relationship Id="rId26" Type="http://schemas.openxmlformats.org/officeDocument/2006/relationships/image" Target="../media/image18.png"/><Relationship Id="rId3" Type="http://schemas.openxmlformats.org/officeDocument/2006/relationships/image" Target="../media/image3.jpeg"/><Relationship Id="rId21" Type="http://schemas.openxmlformats.org/officeDocument/2006/relationships/image" Target="../media/image15.jpeg"/><Relationship Id="rId7" Type="http://schemas.openxmlformats.org/officeDocument/2006/relationships/image" Target="../media/image6.png"/><Relationship Id="rId12" Type="http://schemas.openxmlformats.org/officeDocument/2006/relationships/image" Target="../media/image10.jpeg"/><Relationship Id="rId17" Type="http://schemas.openxmlformats.org/officeDocument/2006/relationships/image" Target="../media/image12.jpeg"/><Relationship Id="rId25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chart" Target="../charts/chart5.xml"/><Relationship Id="rId20" Type="http://schemas.openxmlformats.org/officeDocument/2006/relationships/chart" Target="../charts/chart6.xml"/><Relationship Id="rId1" Type="http://schemas.openxmlformats.org/officeDocument/2006/relationships/image" Target="../media/image1.jpeg"/><Relationship Id="rId6" Type="http://schemas.openxmlformats.org/officeDocument/2006/relationships/chart" Target="../charts/chart1.xml"/><Relationship Id="rId11" Type="http://schemas.openxmlformats.org/officeDocument/2006/relationships/image" Target="../media/image9.png"/><Relationship Id="rId24" Type="http://schemas.openxmlformats.org/officeDocument/2006/relationships/chart" Target="../charts/chart8.xml"/><Relationship Id="rId5" Type="http://schemas.openxmlformats.org/officeDocument/2006/relationships/image" Target="../media/image5.jpeg"/><Relationship Id="rId15" Type="http://schemas.openxmlformats.org/officeDocument/2006/relationships/image" Target="../media/image11.jpeg"/><Relationship Id="rId23" Type="http://schemas.openxmlformats.org/officeDocument/2006/relationships/image" Target="../media/image16.png"/><Relationship Id="rId28" Type="http://schemas.openxmlformats.org/officeDocument/2006/relationships/image" Target="../media/image20.jpeg"/><Relationship Id="rId10" Type="http://schemas.openxmlformats.org/officeDocument/2006/relationships/image" Target="../media/image8.jpeg"/><Relationship Id="rId19" Type="http://schemas.openxmlformats.org/officeDocument/2006/relationships/image" Target="../media/image14.jpg"/><Relationship Id="rId4" Type="http://schemas.openxmlformats.org/officeDocument/2006/relationships/image" Target="../media/image4.jpeg"/><Relationship Id="rId9" Type="http://schemas.openxmlformats.org/officeDocument/2006/relationships/chart" Target="../charts/chart2.xml"/><Relationship Id="rId14" Type="http://schemas.openxmlformats.org/officeDocument/2006/relationships/chart" Target="../charts/chart4.xml"/><Relationship Id="rId22" Type="http://schemas.openxmlformats.org/officeDocument/2006/relationships/chart" Target="../charts/chart7.xml"/><Relationship Id="rId27" Type="http://schemas.openxmlformats.org/officeDocument/2006/relationships/image" Target="../media/image1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685800</xdr:colOff>
      <xdr:row>1</xdr:row>
      <xdr:rowOff>15240</xdr:rowOff>
    </xdr:from>
    <xdr:to>
      <xdr:col>11</xdr:col>
      <xdr:colOff>160020</xdr:colOff>
      <xdr:row>5</xdr:row>
      <xdr:rowOff>167640</xdr:rowOff>
    </xdr:to>
    <xdr:pic>
      <xdr:nvPicPr>
        <xdr:cNvPr id="86" name="Image 85">
          <a:extLst>
            <a:ext uri="{FF2B5EF4-FFF2-40B4-BE49-F238E27FC236}">
              <a16:creationId xmlns:a16="http://schemas.microsoft.com/office/drawing/2014/main" id="{3C9BCF6A-5D46-47EF-AD8D-6E90409E7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93280" y="106680"/>
          <a:ext cx="1097280" cy="883920"/>
        </a:xfrm>
        <a:prstGeom prst="rect">
          <a:avLst/>
        </a:prstGeom>
      </xdr:spPr>
    </xdr:pic>
    <xdr:clientData/>
  </xdr:twoCellAnchor>
  <xdr:twoCellAnchor>
    <xdr:from>
      <xdr:col>3</xdr:col>
      <xdr:colOff>678180</xdr:colOff>
      <xdr:row>1</xdr:row>
      <xdr:rowOff>22860</xdr:rowOff>
    </xdr:from>
    <xdr:to>
      <xdr:col>5</xdr:col>
      <xdr:colOff>190500</xdr:colOff>
      <xdr:row>5</xdr:row>
      <xdr:rowOff>175260</xdr:rowOff>
    </xdr:to>
    <xdr:pic>
      <xdr:nvPicPr>
        <xdr:cNvPr id="79" name="Image 78">
          <a:extLst>
            <a:ext uri="{FF2B5EF4-FFF2-40B4-BE49-F238E27FC236}">
              <a16:creationId xmlns:a16="http://schemas.microsoft.com/office/drawing/2014/main" id="{CEA7C4C9-D369-4CEA-BE62-AAB277AC8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30780" y="114300"/>
          <a:ext cx="1097280" cy="883920"/>
        </a:xfrm>
        <a:prstGeom prst="rect">
          <a:avLst/>
        </a:prstGeom>
      </xdr:spPr>
    </xdr:pic>
    <xdr:clientData/>
  </xdr:twoCellAnchor>
  <xdr:oneCellAnchor>
    <xdr:from>
      <xdr:col>4</xdr:col>
      <xdr:colOff>693420</xdr:colOff>
      <xdr:row>1</xdr:row>
      <xdr:rowOff>110305</xdr:rowOff>
    </xdr:from>
    <xdr:ext cx="4183380" cy="73949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5D44F1F-173A-AB44-98CB-4DE48A490AC7}"/>
            </a:ext>
          </a:extLst>
        </xdr:cNvPr>
        <xdr:cNvSpPr/>
      </xdr:nvSpPr>
      <xdr:spPr>
        <a:xfrm>
          <a:off x="3238500" y="201745"/>
          <a:ext cx="4183380" cy="73949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4400" b="0" cap="none" spc="0">
              <a:ln w="0"/>
              <a:solidFill>
                <a:schemeClr val="accent1"/>
              </a:solidFill>
              <a:effectLst>
                <a:reflection blurRad="6350" stA="53000" endA="300" endPos="35500" dir="5400000" sy="-90000" algn="bl" rotWithShape="0"/>
              </a:effectLst>
              <a:latin typeface="Cooper Black" panose="0208090404030B020404" pitchFamily="18" charset="0"/>
            </a:rPr>
            <a:t>DASHBOARD</a:t>
          </a:r>
        </a:p>
      </xdr:txBody>
    </xdr:sp>
    <xdr:clientData/>
  </xdr:oneCellAnchor>
  <xdr:twoCellAnchor>
    <xdr:from>
      <xdr:col>1</xdr:col>
      <xdr:colOff>0</xdr:colOff>
      <xdr:row>17</xdr:row>
      <xdr:rowOff>7621</xdr:rowOff>
    </xdr:from>
    <xdr:to>
      <xdr:col>4</xdr:col>
      <xdr:colOff>335280</xdr:colOff>
      <xdr:row>23</xdr:row>
      <xdr:rowOff>30480</xdr:rowOff>
    </xdr:to>
    <xdr:grpSp>
      <xdr:nvGrpSpPr>
        <xdr:cNvPr id="9" name="Groupe 8">
          <a:extLst>
            <a:ext uri="{FF2B5EF4-FFF2-40B4-BE49-F238E27FC236}">
              <a16:creationId xmlns:a16="http://schemas.microsoft.com/office/drawing/2014/main" id="{4EA9B1AB-6C92-6D82-D779-84C12A965C2C}"/>
            </a:ext>
          </a:extLst>
        </xdr:cNvPr>
        <xdr:cNvGrpSpPr/>
      </xdr:nvGrpSpPr>
      <xdr:grpSpPr>
        <a:xfrm>
          <a:off x="167640" y="3055621"/>
          <a:ext cx="2712720" cy="1120139"/>
          <a:chOff x="182880" y="1821181"/>
          <a:chExt cx="2712720" cy="1120139"/>
        </a:xfrm>
      </xdr:grpSpPr>
      <xdr:sp macro="" textlink="Calcul!A4">
        <xdr:nvSpPr>
          <xdr:cNvPr id="3" name="Rectangle 2">
            <a:extLst>
              <a:ext uri="{FF2B5EF4-FFF2-40B4-BE49-F238E27FC236}">
                <a16:creationId xmlns:a16="http://schemas.microsoft.com/office/drawing/2014/main" id="{31870D38-3EDE-B918-C9F0-6180F59868C6}"/>
              </a:ext>
            </a:extLst>
          </xdr:cNvPr>
          <xdr:cNvSpPr/>
        </xdr:nvSpPr>
        <xdr:spPr>
          <a:xfrm>
            <a:off x="182880" y="2270760"/>
            <a:ext cx="2712720" cy="670560"/>
          </a:xfrm>
          <a:prstGeom prst="rect">
            <a:avLst/>
          </a:prstGeom>
          <a:noFill/>
          <a:ln w="3810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AC68D4E-FA1B-4652-B1F5-2A51DA3CA085}" type="TxLink">
              <a:rPr lang="en-US" sz="2400" b="1" i="0" u="none" strike="noStrike">
                <a:solidFill>
                  <a:schemeClr val="accent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pPr algn="ctr"/>
              <a:t> 214 127,60 € </a:t>
            </a:fld>
            <a:endParaRPr lang="fr-CM" sz="2400" b="1">
              <a:solidFill>
                <a:schemeClr val="accent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5" name="Image 4">
            <a:extLst>
              <a:ext uri="{FF2B5EF4-FFF2-40B4-BE49-F238E27FC236}">
                <a16:creationId xmlns:a16="http://schemas.microsoft.com/office/drawing/2014/main" id="{074C73AF-0805-7125-29A8-E2109F841A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0501" y="1821181"/>
            <a:ext cx="617220" cy="472440"/>
          </a:xfrm>
          <a:prstGeom prst="rect">
            <a:avLst/>
          </a:prstGeom>
        </xdr:spPr>
      </xdr:pic>
      <xdr:sp macro="" textlink="">
        <xdr:nvSpPr>
          <xdr:cNvPr id="6" name="ZoneTexte 5">
            <a:extLst>
              <a:ext uri="{FF2B5EF4-FFF2-40B4-BE49-F238E27FC236}">
                <a16:creationId xmlns:a16="http://schemas.microsoft.com/office/drawing/2014/main" id="{6F7B4628-63EC-45FC-35B3-CB88F756D6AA}"/>
              </a:ext>
            </a:extLst>
          </xdr:cNvPr>
          <xdr:cNvSpPr txBox="1"/>
        </xdr:nvSpPr>
        <xdr:spPr>
          <a:xfrm>
            <a:off x="807720" y="1828800"/>
            <a:ext cx="2087880" cy="441960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CM" sz="1200" b="1">
                <a:solidFill>
                  <a:schemeClr val="accent1"/>
                </a:solidFill>
                <a:latin typeface="Cooper Black" panose="0208090404030B020404" pitchFamily="18" charset="0"/>
              </a:rPr>
              <a:t>CHIFFRE D'AFFAIRE</a:t>
            </a:r>
          </a:p>
        </xdr:txBody>
      </xdr:sp>
    </xdr:grpSp>
    <xdr:clientData/>
  </xdr:twoCellAnchor>
  <xdr:twoCellAnchor>
    <xdr:from>
      <xdr:col>10</xdr:col>
      <xdr:colOff>822960</xdr:colOff>
      <xdr:row>17</xdr:row>
      <xdr:rowOff>30480</xdr:rowOff>
    </xdr:from>
    <xdr:to>
      <xdr:col>13</xdr:col>
      <xdr:colOff>769620</xdr:colOff>
      <xdr:row>22</xdr:row>
      <xdr:rowOff>167640</xdr:rowOff>
    </xdr:to>
    <xdr:grpSp>
      <xdr:nvGrpSpPr>
        <xdr:cNvPr id="10" name="Groupe 9">
          <a:extLst>
            <a:ext uri="{FF2B5EF4-FFF2-40B4-BE49-F238E27FC236}">
              <a16:creationId xmlns:a16="http://schemas.microsoft.com/office/drawing/2014/main" id="{EC817A57-B5F8-4BFC-AE64-302D396C7959}"/>
            </a:ext>
          </a:extLst>
        </xdr:cNvPr>
        <xdr:cNvGrpSpPr/>
      </xdr:nvGrpSpPr>
      <xdr:grpSpPr>
        <a:xfrm>
          <a:off x="8122920" y="3078480"/>
          <a:ext cx="2362200" cy="1051560"/>
          <a:chOff x="182880" y="1796970"/>
          <a:chExt cx="2712720" cy="1144350"/>
        </a:xfrm>
      </xdr:grpSpPr>
      <xdr:sp macro="" textlink="Calcul!B4">
        <xdr:nvSpPr>
          <xdr:cNvPr id="11" name="Rectangle 10">
            <a:extLst>
              <a:ext uri="{FF2B5EF4-FFF2-40B4-BE49-F238E27FC236}">
                <a16:creationId xmlns:a16="http://schemas.microsoft.com/office/drawing/2014/main" id="{21CD6B22-F1C2-55B2-B1A5-479DA64B70B8}"/>
              </a:ext>
            </a:extLst>
          </xdr:cNvPr>
          <xdr:cNvSpPr/>
        </xdr:nvSpPr>
        <xdr:spPr>
          <a:xfrm>
            <a:off x="182880" y="2270760"/>
            <a:ext cx="2712720" cy="670560"/>
          </a:xfrm>
          <a:prstGeom prst="rect">
            <a:avLst/>
          </a:prstGeom>
          <a:noFill/>
          <a:ln w="3810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2873E38-0DB1-4DEA-8BEC-91C179D91636}" type="TxLink">
              <a:rPr lang="en-US" sz="2400" b="1" i="0" u="none" strike="noStrike">
                <a:solidFill>
                  <a:schemeClr val="accent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pPr algn="ctr"/>
              <a:t> 808,03 € </a:t>
            </a:fld>
            <a:endParaRPr lang="fr-CM" sz="2400" b="1">
              <a:solidFill>
                <a:schemeClr val="accent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12" name="Image 11">
            <a:extLst>
              <a:ext uri="{FF2B5EF4-FFF2-40B4-BE49-F238E27FC236}">
                <a16:creationId xmlns:a16="http://schemas.microsoft.com/office/drawing/2014/main" id="{30EBF286-3C12-A786-47CF-DEB62B6CE4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08634" y="1796970"/>
            <a:ext cx="575165" cy="528644"/>
          </a:xfrm>
          <a:prstGeom prst="rect">
            <a:avLst/>
          </a:prstGeom>
        </xdr:spPr>
      </xdr:pic>
      <xdr:sp macro="" textlink="">
        <xdr:nvSpPr>
          <xdr:cNvPr id="13" name="ZoneTexte 12">
            <a:extLst>
              <a:ext uri="{FF2B5EF4-FFF2-40B4-BE49-F238E27FC236}">
                <a16:creationId xmlns:a16="http://schemas.microsoft.com/office/drawing/2014/main" id="{3A8F21A1-22FA-BFB1-9346-D7A67699D8CA}"/>
              </a:ext>
            </a:extLst>
          </xdr:cNvPr>
          <xdr:cNvSpPr txBox="1"/>
        </xdr:nvSpPr>
        <xdr:spPr>
          <a:xfrm>
            <a:off x="807720" y="1828800"/>
            <a:ext cx="2087880" cy="441960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CM" sz="1200" b="1">
                <a:solidFill>
                  <a:schemeClr val="accent1"/>
                </a:solidFill>
                <a:latin typeface="Cooper Black" panose="0208090404030B020404" pitchFamily="18" charset="0"/>
              </a:rPr>
              <a:t>PANIER MOYEN</a:t>
            </a:r>
          </a:p>
        </xdr:txBody>
      </xdr:sp>
    </xdr:grpSp>
    <xdr:clientData/>
  </xdr:twoCellAnchor>
  <xdr:twoCellAnchor>
    <xdr:from>
      <xdr:col>7</xdr:col>
      <xdr:colOff>701040</xdr:colOff>
      <xdr:row>17</xdr:row>
      <xdr:rowOff>30480</xdr:rowOff>
    </xdr:from>
    <xdr:to>
      <xdr:col>10</xdr:col>
      <xdr:colOff>708660</xdr:colOff>
      <xdr:row>23</xdr:row>
      <xdr:rowOff>7620</xdr:rowOff>
    </xdr:to>
    <xdr:grpSp>
      <xdr:nvGrpSpPr>
        <xdr:cNvPr id="14" name="Groupe 13">
          <a:extLst>
            <a:ext uri="{FF2B5EF4-FFF2-40B4-BE49-F238E27FC236}">
              <a16:creationId xmlns:a16="http://schemas.microsoft.com/office/drawing/2014/main" id="{84A1DC88-58AA-4C50-8989-34C456644B23}"/>
            </a:ext>
          </a:extLst>
        </xdr:cNvPr>
        <xdr:cNvGrpSpPr/>
      </xdr:nvGrpSpPr>
      <xdr:grpSpPr>
        <a:xfrm>
          <a:off x="5623560" y="3078480"/>
          <a:ext cx="2385060" cy="1074420"/>
          <a:chOff x="182880" y="1828800"/>
          <a:chExt cx="2712720" cy="1112520"/>
        </a:xfrm>
      </xdr:grpSpPr>
      <xdr:sp macro="" textlink="Calcul!D4">
        <xdr:nvSpPr>
          <xdr:cNvPr id="15" name="Rectangle 14">
            <a:extLst>
              <a:ext uri="{FF2B5EF4-FFF2-40B4-BE49-F238E27FC236}">
                <a16:creationId xmlns:a16="http://schemas.microsoft.com/office/drawing/2014/main" id="{C060D4C7-0D93-8C30-5143-CD24E6E5EA8F}"/>
              </a:ext>
            </a:extLst>
          </xdr:cNvPr>
          <xdr:cNvSpPr/>
        </xdr:nvSpPr>
        <xdr:spPr>
          <a:xfrm>
            <a:off x="182880" y="2270760"/>
            <a:ext cx="2712720" cy="670560"/>
          </a:xfrm>
          <a:prstGeom prst="rect">
            <a:avLst/>
          </a:prstGeom>
          <a:noFill/>
          <a:ln w="3810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ECE10B1-FBCF-437E-B840-E2DE6E982FF4}" type="TxLink">
              <a:rPr lang="en-US" sz="2400" b="1" i="0" u="none" strike="noStrike">
                <a:solidFill>
                  <a:schemeClr val="accent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pPr algn="ctr"/>
              <a:t> 38 592,60 € </a:t>
            </a:fld>
            <a:endParaRPr lang="fr-CM" sz="2400" b="1">
              <a:solidFill>
                <a:schemeClr val="accent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16" name="Image 15">
            <a:extLst>
              <a:ext uri="{FF2B5EF4-FFF2-40B4-BE49-F238E27FC236}">
                <a16:creationId xmlns:a16="http://schemas.microsoft.com/office/drawing/2014/main" id="{8E2DAFAD-5131-5038-9887-23E290DB27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20350" y="1924116"/>
            <a:ext cx="547040" cy="474195"/>
          </a:xfrm>
          <a:prstGeom prst="rect">
            <a:avLst/>
          </a:prstGeom>
        </xdr:spPr>
      </xdr:pic>
      <xdr:sp macro="" textlink="">
        <xdr:nvSpPr>
          <xdr:cNvPr id="17" name="ZoneTexte 16">
            <a:extLst>
              <a:ext uri="{FF2B5EF4-FFF2-40B4-BE49-F238E27FC236}">
                <a16:creationId xmlns:a16="http://schemas.microsoft.com/office/drawing/2014/main" id="{3337B53C-6F5C-6074-E718-0DBA9CFC2A61}"/>
              </a:ext>
            </a:extLst>
          </xdr:cNvPr>
          <xdr:cNvSpPr txBox="1"/>
        </xdr:nvSpPr>
        <xdr:spPr>
          <a:xfrm>
            <a:off x="807720" y="1828800"/>
            <a:ext cx="2087880" cy="441960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CM" sz="1200" b="1">
                <a:solidFill>
                  <a:schemeClr val="accent1"/>
                </a:solidFill>
                <a:latin typeface="Cooper Black" panose="0208090404030B020404" pitchFamily="18" charset="0"/>
              </a:rPr>
              <a:t>BENEFICE</a:t>
            </a:r>
          </a:p>
        </xdr:txBody>
      </xdr:sp>
    </xdr:grpSp>
    <xdr:clientData/>
  </xdr:twoCellAnchor>
  <xdr:twoCellAnchor>
    <xdr:from>
      <xdr:col>4</xdr:col>
      <xdr:colOff>403860</xdr:colOff>
      <xdr:row>17</xdr:row>
      <xdr:rowOff>0</xdr:rowOff>
    </xdr:from>
    <xdr:to>
      <xdr:col>7</xdr:col>
      <xdr:colOff>579120</xdr:colOff>
      <xdr:row>23</xdr:row>
      <xdr:rowOff>121920</xdr:rowOff>
    </xdr:to>
    <xdr:grpSp>
      <xdr:nvGrpSpPr>
        <xdr:cNvPr id="22" name="Groupe 21">
          <a:extLst>
            <a:ext uri="{FF2B5EF4-FFF2-40B4-BE49-F238E27FC236}">
              <a16:creationId xmlns:a16="http://schemas.microsoft.com/office/drawing/2014/main" id="{11010295-F99A-9F8C-1B89-18CFD94AF3F0}"/>
            </a:ext>
          </a:extLst>
        </xdr:cNvPr>
        <xdr:cNvGrpSpPr/>
      </xdr:nvGrpSpPr>
      <xdr:grpSpPr>
        <a:xfrm>
          <a:off x="2948940" y="3048000"/>
          <a:ext cx="2552700" cy="1219200"/>
          <a:chOff x="2918460" y="1821180"/>
          <a:chExt cx="2552700" cy="1219200"/>
        </a:xfrm>
      </xdr:grpSpPr>
      <xdr:sp macro="" textlink="">
        <xdr:nvSpPr>
          <xdr:cNvPr id="18" name="ZoneTexte 17">
            <a:extLst>
              <a:ext uri="{FF2B5EF4-FFF2-40B4-BE49-F238E27FC236}">
                <a16:creationId xmlns:a16="http://schemas.microsoft.com/office/drawing/2014/main" id="{987F5179-A949-4EF9-BC28-1C79894BFA1D}"/>
              </a:ext>
            </a:extLst>
          </xdr:cNvPr>
          <xdr:cNvSpPr txBox="1"/>
        </xdr:nvSpPr>
        <xdr:spPr>
          <a:xfrm>
            <a:off x="3695700" y="1828800"/>
            <a:ext cx="1775460" cy="495300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CM" sz="1200" b="1">
                <a:solidFill>
                  <a:schemeClr val="accent1"/>
                </a:solidFill>
                <a:latin typeface="Cooper Black" panose="0208090404030B020404" pitchFamily="18" charset="0"/>
              </a:rPr>
              <a:t>TAUX</a:t>
            </a:r>
            <a:r>
              <a:rPr lang="fr-CM" sz="1200" b="1" baseline="0">
                <a:solidFill>
                  <a:schemeClr val="accent1"/>
                </a:solidFill>
                <a:latin typeface="Cooper Black" panose="0208090404030B020404" pitchFamily="18" charset="0"/>
              </a:rPr>
              <a:t> CROISSANCE DU CA</a:t>
            </a:r>
            <a:endParaRPr lang="fr-CM" sz="1200" b="1">
              <a:solidFill>
                <a:schemeClr val="accent1"/>
              </a:solidFill>
              <a:latin typeface="Cooper Black" panose="0208090404030B020404" pitchFamily="18" charset="0"/>
            </a:endParaRPr>
          </a:p>
        </xdr:txBody>
      </xdr:sp>
      <xdr:pic>
        <xdr:nvPicPr>
          <xdr:cNvPr id="19" name="Image 18">
            <a:extLst>
              <a:ext uri="{FF2B5EF4-FFF2-40B4-BE49-F238E27FC236}">
                <a16:creationId xmlns:a16="http://schemas.microsoft.com/office/drawing/2014/main" id="{7706A36B-C05D-429C-95D6-6FEDE6FDEB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918460" y="1821180"/>
            <a:ext cx="750676" cy="525780"/>
          </a:xfrm>
          <a:prstGeom prst="rect">
            <a:avLst/>
          </a:prstGeom>
        </xdr:spPr>
      </xdr:pic>
      <xdr:graphicFrame macro="">
        <xdr:nvGraphicFramePr>
          <xdr:cNvPr id="20" name="Graphique 19">
            <a:extLst>
              <a:ext uri="{FF2B5EF4-FFF2-40B4-BE49-F238E27FC236}">
                <a16:creationId xmlns:a16="http://schemas.microsoft.com/office/drawing/2014/main" id="{FF19374D-2208-4D0A-BE94-563295693BEF}"/>
              </a:ext>
            </a:extLst>
          </xdr:cNvPr>
          <xdr:cNvGraphicFramePr>
            <a:graphicFrameLocks/>
          </xdr:cNvGraphicFramePr>
        </xdr:nvGraphicFramePr>
        <xdr:xfrm>
          <a:off x="4061460" y="2346960"/>
          <a:ext cx="1409700" cy="6172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Calcul!M5">
        <xdr:nvSpPr>
          <xdr:cNvPr id="21" name="Rectangle 20">
            <a:extLst>
              <a:ext uri="{FF2B5EF4-FFF2-40B4-BE49-F238E27FC236}">
                <a16:creationId xmlns:a16="http://schemas.microsoft.com/office/drawing/2014/main" id="{EE3A0824-31EE-4E01-B230-9E37FF45A300}"/>
              </a:ext>
            </a:extLst>
          </xdr:cNvPr>
          <xdr:cNvSpPr/>
        </xdr:nvSpPr>
        <xdr:spPr>
          <a:xfrm>
            <a:off x="2987040" y="2369820"/>
            <a:ext cx="1028700" cy="670560"/>
          </a:xfrm>
          <a:prstGeom prst="rect">
            <a:avLst/>
          </a:prstGeom>
          <a:solidFill>
            <a:schemeClr val="accent5"/>
          </a:solidFill>
          <a:ln w="3810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0C698D3-FB7F-4E10-8685-AEBEC3168CB1}" type="TxLink">
              <a:rPr lang="en-US" sz="1800" b="1" i="0" u="none" strike="noStrike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pPr algn="ctr"/>
              <a:t>14,33%</a:t>
            </a:fld>
            <a:endParaRPr lang="fr-CM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6</xdr:col>
      <xdr:colOff>259081</xdr:colOff>
      <xdr:row>7</xdr:row>
      <xdr:rowOff>137160</xdr:rowOff>
    </xdr:from>
    <xdr:to>
      <xdr:col>8</xdr:col>
      <xdr:colOff>472440</xdr:colOff>
      <xdr:row>15</xdr:row>
      <xdr:rowOff>144780</xdr:rowOff>
    </xdr:to>
    <xdr:grpSp>
      <xdr:nvGrpSpPr>
        <xdr:cNvPr id="32" name="Groupe 31">
          <a:extLst>
            <a:ext uri="{FF2B5EF4-FFF2-40B4-BE49-F238E27FC236}">
              <a16:creationId xmlns:a16="http://schemas.microsoft.com/office/drawing/2014/main" id="{1D628AE2-C053-0FAF-1CE6-A89300B26740}"/>
            </a:ext>
          </a:extLst>
        </xdr:cNvPr>
        <xdr:cNvGrpSpPr/>
      </xdr:nvGrpSpPr>
      <xdr:grpSpPr>
        <a:xfrm>
          <a:off x="4389121" y="1341120"/>
          <a:ext cx="1798319" cy="1485900"/>
          <a:chOff x="5120641" y="1348740"/>
          <a:chExt cx="1798319" cy="14859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5" name="SALE TYPE">
                <a:extLst>
                  <a:ext uri="{FF2B5EF4-FFF2-40B4-BE49-F238E27FC236}">
                    <a16:creationId xmlns:a16="http://schemas.microsoft.com/office/drawing/2014/main" id="{8383E0E1-0A30-4F43-8510-FFBD0C30F20C}"/>
                  </a:ext>
                </a:extLst>
              </xdr:cNvPr>
              <xdr:cNvGraphicFramePr/>
            </xdr:nvGraphicFramePr>
            <xdr:xfrm>
              <a:off x="5143500" y="1851660"/>
              <a:ext cx="1775460" cy="982980"/>
            </xdr:xfrm>
            <a:graphic>
              <a:graphicData uri="http://schemas.microsoft.com/office/drawing/2010/slicer">
                <sle:slicer xmlns:sle="http://schemas.microsoft.com/office/drawing/2010/slicer" name="SALE TY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411980" y="1844040"/>
                <a:ext cx="1775460" cy="98298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CM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xdr:pic>
        <xdr:nvPicPr>
          <xdr:cNvPr id="27" name="Image 26">
            <a:extLst>
              <a:ext uri="{FF2B5EF4-FFF2-40B4-BE49-F238E27FC236}">
                <a16:creationId xmlns:a16="http://schemas.microsoft.com/office/drawing/2014/main" id="{1A38B7E2-156D-2AF4-120C-5C7792FE56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20641" y="1348740"/>
            <a:ext cx="487925" cy="563880"/>
          </a:xfrm>
          <a:prstGeom prst="rect">
            <a:avLst/>
          </a:prstGeom>
        </xdr:spPr>
      </xdr:pic>
      <xdr:sp macro="" textlink="">
        <xdr:nvSpPr>
          <xdr:cNvPr id="28" name="ZoneTexte 27">
            <a:extLst>
              <a:ext uri="{FF2B5EF4-FFF2-40B4-BE49-F238E27FC236}">
                <a16:creationId xmlns:a16="http://schemas.microsoft.com/office/drawing/2014/main" id="{E1987092-4D6F-40B3-A290-E6CD7DA1468E}"/>
              </a:ext>
            </a:extLst>
          </xdr:cNvPr>
          <xdr:cNvSpPr txBox="1"/>
        </xdr:nvSpPr>
        <xdr:spPr>
          <a:xfrm>
            <a:off x="5623561" y="1440180"/>
            <a:ext cx="1287780" cy="388620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CM" sz="1200" b="1">
                <a:solidFill>
                  <a:schemeClr val="accent1"/>
                </a:solidFill>
                <a:latin typeface="Cooper Black" panose="0208090404030B020404" pitchFamily="18" charset="0"/>
              </a:rPr>
              <a:t>TYPE</a:t>
            </a:r>
          </a:p>
        </xdr:txBody>
      </xdr:sp>
    </xdr:grpSp>
    <xdr:clientData/>
  </xdr:twoCellAnchor>
  <xdr:twoCellAnchor>
    <xdr:from>
      <xdr:col>10</xdr:col>
      <xdr:colOff>671960</xdr:colOff>
      <xdr:row>23</xdr:row>
      <xdr:rowOff>91440</xdr:rowOff>
    </xdr:from>
    <xdr:to>
      <xdr:col>13</xdr:col>
      <xdr:colOff>754380</xdr:colOff>
      <xdr:row>30</xdr:row>
      <xdr:rowOff>30480</xdr:rowOff>
    </xdr:to>
    <xdr:grpSp>
      <xdr:nvGrpSpPr>
        <xdr:cNvPr id="34" name="Groupe 33">
          <a:extLst>
            <a:ext uri="{FF2B5EF4-FFF2-40B4-BE49-F238E27FC236}">
              <a16:creationId xmlns:a16="http://schemas.microsoft.com/office/drawing/2014/main" id="{DB5BFC1B-9D6F-4957-9820-A24A502226F4}"/>
            </a:ext>
          </a:extLst>
        </xdr:cNvPr>
        <xdr:cNvGrpSpPr/>
      </xdr:nvGrpSpPr>
      <xdr:grpSpPr>
        <a:xfrm>
          <a:off x="7971920" y="4236720"/>
          <a:ext cx="2497960" cy="1219200"/>
          <a:chOff x="2973200" y="1821180"/>
          <a:chExt cx="2497960" cy="1219200"/>
        </a:xfrm>
      </xdr:grpSpPr>
      <xdr:sp macro="" textlink="">
        <xdr:nvSpPr>
          <xdr:cNvPr id="35" name="ZoneTexte 34">
            <a:extLst>
              <a:ext uri="{FF2B5EF4-FFF2-40B4-BE49-F238E27FC236}">
                <a16:creationId xmlns:a16="http://schemas.microsoft.com/office/drawing/2014/main" id="{A78338E8-1785-11D2-3331-A8254BEB1AB4}"/>
              </a:ext>
            </a:extLst>
          </xdr:cNvPr>
          <xdr:cNvSpPr txBox="1"/>
        </xdr:nvSpPr>
        <xdr:spPr>
          <a:xfrm>
            <a:off x="3695700" y="1828800"/>
            <a:ext cx="1775460" cy="495300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CM" sz="1200" b="1">
                <a:solidFill>
                  <a:schemeClr val="accent1"/>
                </a:solidFill>
                <a:latin typeface="Cooper Black" panose="0208090404030B020404" pitchFamily="18" charset="0"/>
              </a:rPr>
              <a:t>REMISE</a:t>
            </a:r>
            <a:r>
              <a:rPr lang="fr-CM" sz="1200" b="1" baseline="0">
                <a:solidFill>
                  <a:schemeClr val="accent1"/>
                </a:solidFill>
                <a:latin typeface="Cooper Black" panose="0208090404030B020404" pitchFamily="18" charset="0"/>
              </a:rPr>
              <a:t> APPLIQUEE (%)</a:t>
            </a:r>
            <a:endParaRPr lang="fr-CM" sz="1200" b="1">
              <a:solidFill>
                <a:schemeClr val="accent1"/>
              </a:solidFill>
              <a:latin typeface="Cooper Black" panose="0208090404030B020404" pitchFamily="18" charset="0"/>
            </a:endParaRPr>
          </a:p>
        </xdr:txBody>
      </xdr:sp>
      <xdr:pic>
        <xdr:nvPicPr>
          <xdr:cNvPr id="36" name="Image 35">
            <a:extLst>
              <a:ext uri="{FF2B5EF4-FFF2-40B4-BE49-F238E27FC236}">
                <a16:creationId xmlns:a16="http://schemas.microsoft.com/office/drawing/2014/main" id="{A55E3550-2A4E-CEB1-4E7A-D5DE6ACC84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973200" y="1821180"/>
            <a:ext cx="641195" cy="525780"/>
          </a:xfrm>
          <a:prstGeom prst="rect">
            <a:avLst/>
          </a:prstGeom>
        </xdr:spPr>
      </xdr:pic>
      <xdr:graphicFrame macro="">
        <xdr:nvGraphicFramePr>
          <xdr:cNvPr id="37" name="Graphique 36">
            <a:extLst>
              <a:ext uri="{FF2B5EF4-FFF2-40B4-BE49-F238E27FC236}">
                <a16:creationId xmlns:a16="http://schemas.microsoft.com/office/drawing/2014/main" id="{855313CD-923F-6B80-7835-D99FE0BCE8C2}"/>
              </a:ext>
            </a:extLst>
          </xdr:cNvPr>
          <xdr:cNvGraphicFramePr>
            <a:graphicFrameLocks/>
          </xdr:cNvGraphicFramePr>
        </xdr:nvGraphicFramePr>
        <xdr:xfrm>
          <a:off x="4061460" y="2346960"/>
          <a:ext cx="1409700" cy="6172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Calcul!A25">
        <xdr:nvSpPr>
          <xdr:cNvPr id="38" name="Rectangle 37">
            <a:extLst>
              <a:ext uri="{FF2B5EF4-FFF2-40B4-BE49-F238E27FC236}">
                <a16:creationId xmlns:a16="http://schemas.microsoft.com/office/drawing/2014/main" id="{FA29282A-4B87-7DED-0890-BDFCA5CA93B4}"/>
              </a:ext>
            </a:extLst>
          </xdr:cNvPr>
          <xdr:cNvSpPr/>
        </xdr:nvSpPr>
        <xdr:spPr>
          <a:xfrm>
            <a:off x="2987040" y="2369820"/>
            <a:ext cx="1028700" cy="670560"/>
          </a:xfrm>
          <a:prstGeom prst="rect">
            <a:avLst/>
          </a:prstGeom>
          <a:solidFill>
            <a:schemeClr val="accent5"/>
          </a:solidFill>
          <a:ln w="3810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6504DEE-D43B-49FA-81C1-AF1F842306DD}" type="TxLink">
              <a:rPr lang="en-US" sz="2400" b="1" i="0" u="none" strike="noStrike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pPr algn="ctr"/>
              <a:t>34,36</a:t>
            </a:fld>
            <a:endParaRPr lang="fr-CM" sz="2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6</xdr:col>
      <xdr:colOff>396240</xdr:colOff>
      <xdr:row>23</xdr:row>
      <xdr:rowOff>137160</xdr:rowOff>
    </xdr:from>
    <xdr:to>
      <xdr:col>8</xdr:col>
      <xdr:colOff>358139</xdr:colOff>
      <xdr:row>30</xdr:row>
      <xdr:rowOff>7619</xdr:rowOff>
    </xdr:to>
    <xdr:grpSp>
      <xdr:nvGrpSpPr>
        <xdr:cNvPr id="39" name="Groupe 38">
          <a:extLst>
            <a:ext uri="{FF2B5EF4-FFF2-40B4-BE49-F238E27FC236}">
              <a16:creationId xmlns:a16="http://schemas.microsoft.com/office/drawing/2014/main" id="{8A4488FD-2BEF-4223-93C1-309764C024CC}"/>
            </a:ext>
          </a:extLst>
        </xdr:cNvPr>
        <xdr:cNvGrpSpPr/>
      </xdr:nvGrpSpPr>
      <xdr:grpSpPr>
        <a:xfrm>
          <a:off x="4526280" y="4282440"/>
          <a:ext cx="1546859" cy="1150619"/>
          <a:chOff x="144388" y="1821181"/>
          <a:chExt cx="2778588" cy="1127606"/>
        </a:xfrm>
      </xdr:grpSpPr>
      <xdr:sp macro="" textlink="Calcul!AI4">
        <xdr:nvSpPr>
          <xdr:cNvPr id="40" name="Rectangle 39">
            <a:extLst>
              <a:ext uri="{FF2B5EF4-FFF2-40B4-BE49-F238E27FC236}">
                <a16:creationId xmlns:a16="http://schemas.microsoft.com/office/drawing/2014/main" id="{A440F69A-FB06-4006-ACB5-0FC07F55B320}"/>
              </a:ext>
            </a:extLst>
          </xdr:cNvPr>
          <xdr:cNvSpPr/>
        </xdr:nvSpPr>
        <xdr:spPr>
          <a:xfrm>
            <a:off x="1239399" y="2330500"/>
            <a:ext cx="1683577" cy="618287"/>
          </a:xfrm>
          <a:prstGeom prst="rect">
            <a:avLst/>
          </a:prstGeom>
          <a:solidFill>
            <a:schemeClr val="accent5"/>
          </a:solidFill>
          <a:ln w="3810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4401B72-7DE8-46C0-B929-03CAD4AF3180}" type="TxLink">
              <a:rPr lang="en-US" sz="2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14</a:t>
            </a:fld>
            <a:endParaRPr lang="fr-CM" sz="2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41" name="Image 40">
            <a:extLst>
              <a:ext uri="{FF2B5EF4-FFF2-40B4-BE49-F238E27FC236}">
                <a16:creationId xmlns:a16="http://schemas.microsoft.com/office/drawing/2014/main" id="{57901D86-B6E9-9033-716A-D1209BA733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44388" y="2291639"/>
            <a:ext cx="1012885" cy="586207"/>
          </a:xfrm>
          <a:prstGeom prst="rect">
            <a:avLst/>
          </a:prstGeom>
        </xdr:spPr>
      </xdr:pic>
      <xdr:sp macro="" textlink="">
        <xdr:nvSpPr>
          <xdr:cNvPr id="42" name="ZoneTexte 41">
            <a:extLst>
              <a:ext uri="{FF2B5EF4-FFF2-40B4-BE49-F238E27FC236}">
                <a16:creationId xmlns:a16="http://schemas.microsoft.com/office/drawing/2014/main" id="{5A075FB8-118E-4437-5BD5-3AFA9B55958B}"/>
              </a:ext>
            </a:extLst>
          </xdr:cNvPr>
          <xdr:cNvSpPr txBox="1"/>
        </xdr:nvSpPr>
        <xdr:spPr>
          <a:xfrm>
            <a:off x="171765" y="1821181"/>
            <a:ext cx="2723837" cy="449579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CM" sz="1200" b="1">
                <a:solidFill>
                  <a:schemeClr val="accent1"/>
                </a:solidFill>
                <a:latin typeface="Cooper Black" panose="0208090404030B020404" pitchFamily="18" charset="0"/>
              </a:rPr>
              <a:t>NOMBRE</a:t>
            </a:r>
            <a:r>
              <a:rPr lang="fr-CM" sz="1200" b="1" baseline="0">
                <a:solidFill>
                  <a:schemeClr val="accent1"/>
                </a:solidFill>
                <a:latin typeface="Cooper Black" panose="0208090404030B020404" pitchFamily="18" charset="0"/>
              </a:rPr>
              <a:t> DE TRANSACTION</a:t>
            </a:r>
            <a:endParaRPr lang="fr-CM" sz="1200" b="1">
              <a:solidFill>
                <a:schemeClr val="accent1"/>
              </a:solidFill>
              <a:latin typeface="Cooper Black" panose="0208090404030B020404" pitchFamily="18" charset="0"/>
            </a:endParaRPr>
          </a:p>
        </xdr:txBody>
      </xdr:sp>
    </xdr:grpSp>
    <xdr:clientData/>
  </xdr:twoCellAnchor>
  <xdr:twoCellAnchor>
    <xdr:from>
      <xdr:col>1</xdr:col>
      <xdr:colOff>30480</xdr:colOff>
      <xdr:row>23</xdr:row>
      <xdr:rowOff>64658</xdr:rowOff>
    </xdr:from>
    <xdr:to>
      <xdr:col>4</xdr:col>
      <xdr:colOff>15240</xdr:colOff>
      <xdr:row>29</xdr:row>
      <xdr:rowOff>118325</xdr:rowOff>
    </xdr:to>
    <xdr:grpSp>
      <xdr:nvGrpSpPr>
        <xdr:cNvPr id="43" name="Groupe 42">
          <a:extLst>
            <a:ext uri="{FF2B5EF4-FFF2-40B4-BE49-F238E27FC236}">
              <a16:creationId xmlns:a16="http://schemas.microsoft.com/office/drawing/2014/main" id="{41C8B85D-B731-49F3-80F3-80AE3D2EE99F}"/>
            </a:ext>
          </a:extLst>
        </xdr:cNvPr>
        <xdr:cNvGrpSpPr/>
      </xdr:nvGrpSpPr>
      <xdr:grpSpPr>
        <a:xfrm>
          <a:off x="198120" y="4209938"/>
          <a:ext cx="2362200" cy="1150947"/>
          <a:chOff x="182880" y="1713898"/>
          <a:chExt cx="2712720" cy="1227422"/>
        </a:xfrm>
      </xdr:grpSpPr>
      <xdr:sp macro="" textlink="Calcul!C4">
        <xdr:nvSpPr>
          <xdr:cNvPr id="44" name="Rectangle 43">
            <a:extLst>
              <a:ext uri="{FF2B5EF4-FFF2-40B4-BE49-F238E27FC236}">
                <a16:creationId xmlns:a16="http://schemas.microsoft.com/office/drawing/2014/main" id="{3AFD4761-9914-9EE6-127C-244FC02CE15D}"/>
              </a:ext>
            </a:extLst>
          </xdr:cNvPr>
          <xdr:cNvSpPr/>
        </xdr:nvSpPr>
        <xdr:spPr>
          <a:xfrm>
            <a:off x="182880" y="2270760"/>
            <a:ext cx="2712720" cy="670560"/>
          </a:xfrm>
          <a:prstGeom prst="rect">
            <a:avLst/>
          </a:prstGeom>
          <a:noFill/>
          <a:ln w="3810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12C3049-D51E-4D8D-873B-04764D4E448C}" type="TxLink">
              <a:rPr lang="en-US" sz="2400" b="1" i="0" u="none" strike="noStrike">
                <a:solidFill>
                  <a:schemeClr val="accent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pPr algn="ctr"/>
              <a:t> 175 535,00 € </a:t>
            </a:fld>
            <a:endParaRPr lang="fr-CM" sz="2400" b="1">
              <a:solidFill>
                <a:schemeClr val="accent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45" name="Image 44">
            <a:extLst>
              <a:ext uri="{FF2B5EF4-FFF2-40B4-BE49-F238E27FC236}">
                <a16:creationId xmlns:a16="http://schemas.microsoft.com/office/drawing/2014/main" id="{142BC150-9A9B-34D1-E1E7-BE58DA4FD7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02848" y="1713898"/>
            <a:ext cx="608302" cy="564897"/>
          </a:xfrm>
          <a:prstGeom prst="rect">
            <a:avLst/>
          </a:prstGeom>
        </xdr:spPr>
      </xdr:pic>
      <xdr:sp macro="" textlink="">
        <xdr:nvSpPr>
          <xdr:cNvPr id="46" name="ZoneTexte 45">
            <a:extLst>
              <a:ext uri="{FF2B5EF4-FFF2-40B4-BE49-F238E27FC236}">
                <a16:creationId xmlns:a16="http://schemas.microsoft.com/office/drawing/2014/main" id="{3CC6C037-9449-A3D6-BC59-E508DAEA4114}"/>
              </a:ext>
            </a:extLst>
          </xdr:cNvPr>
          <xdr:cNvSpPr txBox="1"/>
        </xdr:nvSpPr>
        <xdr:spPr>
          <a:xfrm>
            <a:off x="807720" y="1828800"/>
            <a:ext cx="2087880" cy="441960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CM" sz="1200" b="1">
                <a:solidFill>
                  <a:schemeClr val="accent1"/>
                </a:solidFill>
                <a:latin typeface="Cooper Black" panose="0208090404030B020404" pitchFamily="18" charset="0"/>
              </a:rPr>
              <a:t>COUT D'ACHAT</a:t>
            </a:r>
          </a:p>
        </xdr:txBody>
      </xdr:sp>
    </xdr:grpSp>
    <xdr:clientData/>
  </xdr:twoCellAnchor>
  <xdr:twoCellAnchor>
    <xdr:from>
      <xdr:col>1</xdr:col>
      <xdr:colOff>22860</xdr:colOff>
      <xdr:row>31</xdr:row>
      <xdr:rowOff>38100</xdr:rowOff>
    </xdr:from>
    <xdr:to>
      <xdr:col>4</xdr:col>
      <xdr:colOff>601980</xdr:colOff>
      <xdr:row>44</xdr:row>
      <xdr:rowOff>160020</xdr:rowOff>
    </xdr:to>
    <xdr:grpSp>
      <xdr:nvGrpSpPr>
        <xdr:cNvPr id="52" name="Groupe 51">
          <a:extLst>
            <a:ext uri="{FF2B5EF4-FFF2-40B4-BE49-F238E27FC236}">
              <a16:creationId xmlns:a16="http://schemas.microsoft.com/office/drawing/2014/main" id="{9B8D556D-970C-439E-153E-6545008DF419}"/>
            </a:ext>
          </a:extLst>
        </xdr:cNvPr>
        <xdr:cNvGrpSpPr/>
      </xdr:nvGrpSpPr>
      <xdr:grpSpPr>
        <a:xfrm>
          <a:off x="190500" y="5646420"/>
          <a:ext cx="2956560" cy="2499360"/>
          <a:chOff x="190500" y="5463540"/>
          <a:chExt cx="2956560" cy="2499360"/>
        </a:xfrm>
      </xdr:grpSpPr>
      <xdr:grpSp>
        <xdr:nvGrpSpPr>
          <xdr:cNvPr id="47" name="Groupe 46">
            <a:extLst>
              <a:ext uri="{FF2B5EF4-FFF2-40B4-BE49-F238E27FC236}">
                <a16:creationId xmlns:a16="http://schemas.microsoft.com/office/drawing/2014/main" id="{4EE51710-DB56-46D6-8454-DE84CFEA0182}"/>
              </a:ext>
            </a:extLst>
          </xdr:cNvPr>
          <xdr:cNvGrpSpPr/>
        </xdr:nvGrpSpPr>
        <xdr:grpSpPr>
          <a:xfrm>
            <a:off x="213359" y="5463540"/>
            <a:ext cx="2933701" cy="541020"/>
            <a:chOff x="236190" y="1763915"/>
            <a:chExt cx="2877929" cy="508231"/>
          </a:xfrm>
        </xdr:grpSpPr>
        <xdr:pic>
          <xdr:nvPicPr>
            <xdr:cNvPr id="49" name="Image 48">
              <a:extLst>
                <a:ext uri="{FF2B5EF4-FFF2-40B4-BE49-F238E27FC236}">
                  <a16:creationId xmlns:a16="http://schemas.microsoft.com/office/drawing/2014/main" id="{5A689B81-E961-9AEE-8318-E5D6FDB1BDE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236190" y="1763915"/>
              <a:ext cx="553161" cy="508231"/>
            </a:xfrm>
            <a:prstGeom prst="rect">
              <a:avLst/>
            </a:prstGeom>
          </xdr:spPr>
        </xdr:pic>
        <xdr:sp macro="" textlink="">
          <xdr:nvSpPr>
            <xdr:cNvPr id="50" name="ZoneTexte 49">
              <a:extLst>
                <a:ext uri="{FF2B5EF4-FFF2-40B4-BE49-F238E27FC236}">
                  <a16:creationId xmlns:a16="http://schemas.microsoft.com/office/drawing/2014/main" id="{F0CE92CB-DF12-CF61-766E-EE40060A8713}"/>
                </a:ext>
              </a:extLst>
            </xdr:cNvPr>
            <xdr:cNvSpPr txBox="1"/>
          </xdr:nvSpPr>
          <xdr:spPr>
            <a:xfrm>
              <a:off x="807720" y="1828339"/>
              <a:ext cx="2306399" cy="443805"/>
            </a:xfrm>
            <a:prstGeom prst="rect">
              <a:avLst/>
            </a:prstGeom>
            <a:solidFill>
              <a:schemeClr val="lt1"/>
            </a:solidFill>
            <a:ln w="38100" cmpd="sng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fr-CM" sz="1200" b="1">
                  <a:solidFill>
                    <a:schemeClr val="accent1"/>
                  </a:solidFill>
                  <a:latin typeface="Cooper Black" panose="0208090404030B020404" pitchFamily="18" charset="0"/>
                </a:rPr>
                <a:t>RATIO DE CONTRIBUTION</a:t>
              </a:r>
              <a:r>
                <a:rPr lang="fr-CM" sz="1200" b="1" baseline="0">
                  <a:solidFill>
                    <a:schemeClr val="accent1"/>
                  </a:solidFill>
                  <a:latin typeface="Cooper Black" panose="0208090404030B020404" pitchFamily="18" charset="0"/>
                </a:rPr>
                <a:t> </a:t>
              </a:r>
              <a:r>
                <a:rPr lang="fr-CM" sz="1200" b="1">
                  <a:solidFill>
                    <a:schemeClr val="accent1"/>
                  </a:solidFill>
                  <a:latin typeface="Cooper Black" panose="0208090404030B020404" pitchFamily="18" charset="0"/>
                </a:rPr>
                <a:t>PAR CATEGORIE</a:t>
              </a:r>
            </a:p>
          </xdr:txBody>
        </xdr:sp>
      </xdr:grpSp>
      <xdr:graphicFrame macro="">
        <xdr:nvGraphicFramePr>
          <xdr:cNvPr id="51" name="Graphique 50">
            <a:extLst>
              <a:ext uri="{FF2B5EF4-FFF2-40B4-BE49-F238E27FC236}">
                <a16:creationId xmlns:a16="http://schemas.microsoft.com/office/drawing/2014/main" id="{7427FF43-84B2-4AAA-A674-626BE080048C}"/>
              </a:ext>
            </a:extLst>
          </xdr:cNvPr>
          <xdr:cNvGraphicFramePr>
            <a:graphicFrameLocks/>
          </xdr:cNvGraphicFramePr>
        </xdr:nvGraphicFramePr>
        <xdr:xfrm>
          <a:off x="190500" y="6027420"/>
          <a:ext cx="2956560" cy="19354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</xdr:grpSp>
    <xdr:clientData/>
  </xdr:twoCellAnchor>
  <xdr:twoCellAnchor>
    <xdr:from>
      <xdr:col>5</xdr:col>
      <xdr:colOff>251460</xdr:colOff>
      <xdr:row>45</xdr:row>
      <xdr:rowOff>137159</xdr:rowOff>
    </xdr:from>
    <xdr:to>
      <xdr:col>10</xdr:col>
      <xdr:colOff>152400</xdr:colOff>
      <xdr:row>64</xdr:row>
      <xdr:rowOff>152400</xdr:rowOff>
    </xdr:to>
    <xdr:grpSp>
      <xdr:nvGrpSpPr>
        <xdr:cNvPr id="67" name="Groupe 66">
          <a:extLst>
            <a:ext uri="{FF2B5EF4-FFF2-40B4-BE49-F238E27FC236}">
              <a16:creationId xmlns:a16="http://schemas.microsoft.com/office/drawing/2014/main" id="{532370A5-1B93-1F4D-DBD9-6E25B925856E}"/>
            </a:ext>
          </a:extLst>
        </xdr:cNvPr>
        <xdr:cNvGrpSpPr/>
      </xdr:nvGrpSpPr>
      <xdr:grpSpPr>
        <a:xfrm>
          <a:off x="3589020" y="8305799"/>
          <a:ext cx="3863340" cy="3489961"/>
          <a:chOff x="3749040" y="8305799"/>
          <a:chExt cx="3589020" cy="3489961"/>
        </a:xfrm>
      </xdr:grpSpPr>
      <xdr:sp macro="" textlink="">
        <xdr:nvSpPr>
          <xdr:cNvPr id="60" name="ZoneTexte 59">
            <a:extLst>
              <a:ext uri="{FF2B5EF4-FFF2-40B4-BE49-F238E27FC236}">
                <a16:creationId xmlns:a16="http://schemas.microsoft.com/office/drawing/2014/main" id="{81AE72E6-D812-4BDF-9D5B-4B418D2B1C15}"/>
              </a:ext>
            </a:extLst>
          </xdr:cNvPr>
          <xdr:cNvSpPr txBox="1"/>
        </xdr:nvSpPr>
        <xdr:spPr>
          <a:xfrm>
            <a:off x="4770120" y="8328660"/>
            <a:ext cx="2567940" cy="830580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CM" sz="1200" b="1">
                <a:solidFill>
                  <a:schemeClr val="accent1"/>
                </a:solidFill>
                <a:latin typeface="Cooper Black" panose="0208090404030B020404" pitchFamily="18" charset="0"/>
              </a:rPr>
              <a:t>REPARTITION DE RATIO</a:t>
            </a:r>
            <a:r>
              <a:rPr lang="fr-CM" sz="1200" b="1" baseline="0">
                <a:solidFill>
                  <a:schemeClr val="accent1"/>
                </a:solidFill>
                <a:latin typeface="Cooper Black" panose="0208090404030B020404" pitchFamily="18" charset="0"/>
              </a:rPr>
              <a:t> DE CONTRIBUTION ET DE TRANSACTION PAR TYPE DE VENTE</a:t>
            </a:r>
            <a:endParaRPr lang="fr-CM" sz="1200" b="1">
              <a:solidFill>
                <a:schemeClr val="accent1"/>
              </a:solidFill>
              <a:latin typeface="Cooper Black" panose="0208090404030B020404" pitchFamily="18" charset="0"/>
            </a:endParaRPr>
          </a:p>
        </xdr:txBody>
      </xdr:sp>
      <xdr:graphicFrame macro="">
        <xdr:nvGraphicFramePr>
          <xdr:cNvPr id="61" name="Graphique 60">
            <a:extLst>
              <a:ext uri="{FF2B5EF4-FFF2-40B4-BE49-F238E27FC236}">
                <a16:creationId xmlns:a16="http://schemas.microsoft.com/office/drawing/2014/main" id="{A235FE8C-A9EC-4258-9821-498ED9341F54}"/>
              </a:ext>
            </a:extLst>
          </xdr:cNvPr>
          <xdr:cNvGraphicFramePr>
            <a:graphicFrameLocks/>
          </xdr:cNvGraphicFramePr>
        </xdr:nvGraphicFramePr>
        <xdr:xfrm>
          <a:off x="3749040" y="9166860"/>
          <a:ext cx="3589020" cy="2628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pic>
        <xdr:nvPicPr>
          <xdr:cNvPr id="65" name="Image 64">
            <a:extLst>
              <a:ext uri="{FF2B5EF4-FFF2-40B4-BE49-F238E27FC236}">
                <a16:creationId xmlns:a16="http://schemas.microsoft.com/office/drawing/2014/main" id="{21CFB4E3-6E9F-4213-877D-F94ACCD1F6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863340" y="8305799"/>
            <a:ext cx="883037" cy="92202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15240</xdr:colOff>
      <xdr:row>45</xdr:row>
      <xdr:rowOff>53340</xdr:rowOff>
    </xdr:from>
    <xdr:to>
      <xdr:col>5</xdr:col>
      <xdr:colOff>167640</xdr:colOff>
      <xdr:row>64</xdr:row>
      <xdr:rowOff>137160</xdr:rowOff>
    </xdr:to>
    <xdr:grpSp>
      <xdr:nvGrpSpPr>
        <xdr:cNvPr id="68" name="Groupe 67">
          <a:extLst>
            <a:ext uri="{FF2B5EF4-FFF2-40B4-BE49-F238E27FC236}">
              <a16:creationId xmlns:a16="http://schemas.microsoft.com/office/drawing/2014/main" id="{49E74CBC-FA91-EA47-0D40-768F2154EB2B}"/>
            </a:ext>
          </a:extLst>
        </xdr:cNvPr>
        <xdr:cNvGrpSpPr/>
      </xdr:nvGrpSpPr>
      <xdr:grpSpPr>
        <a:xfrm>
          <a:off x="182880" y="8221980"/>
          <a:ext cx="3322320" cy="3558540"/>
          <a:chOff x="182880" y="8221980"/>
          <a:chExt cx="3429000" cy="3558540"/>
        </a:xfrm>
      </xdr:grpSpPr>
      <xdr:graphicFrame macro="">
        <xdr:nvGraphicFramePr>
          <xdr:cNvPr id="57" name="Graphique 56">
            <a:extLst>
              <a:ext uri="{FF2B5EF4-FFF2-40B4-BE49-F238E27FC236}">
                <a16:creationId xmlns:a16="http://schemas.microsoft.com/office/drawing/2014/main" id="{A62FEF44-05EE-4647-8DF0-5C1170839A28}"/>
              </a:ext>
            </a:extLst>
          </xdr:cNvPr>
          <xdr:cNvGraphicFramePr>
            <a:graphicFrameLocks/>
          </xdr:cNvGraphicFramePr>
        </xdr:nvGraphicFramePr>
        <xdr:xfrm>
          <a:off x="182880" y="9189720"/>
          <a:ext cx="3429000" cy="259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sp macro="" textlink="">
        <xdr:nvSpPr>
          <xdr:cNvPr id="58" name="ZoneTexte 57">
            <a:extLst>
              <a:ext uri="{FF2B5EF4-FFF2-40B4-BE49-F238E27FC236}">
                <a16:creationId xmlns:a16="http://schemas.microsoft.com/office/drawing/2014/main" id="{914C2EB3-41DB-4F99-8272-EDD2ACD8BCBA}"/>
              </a:ext>
            </a:extLst>
          </xdr:cNvPr>
          <xdr:cNvSpPr txBox="1"/>
        </xdr:nvSpPr>
        <xdr:spPr>
          <a:xfrm>
            <a:off x="1036320" y="8221980"/>
            <a:ext cx="2575560" cy="960120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CM" sz="1200" b="1">
                <a:solidFill>
                  <a:schemeClr val="accent1"/>
                </a:solidFill>
                <a:latin typeface="Cooper Black" panose="0208090404030B020404" pitchFamily="18" charset="0"/>
              </a:rPr>
              <a:t>REPARTITION DE RATIO</a:t>
            </a:r>
            <a:r>
              <a:rPr lang="fr-CM" sz="1200" b="1" baseline="0">
                <a:solidFill>
                  <a:schemeClr val="accent1"/>
                </a:solidFill>
                <a:latin typeface="Cooper Black" panose="0208090404030B020404" pitchFamily="18" charset="0"/>
              </a:rPr>
              <a:t> DE CONTRIBUTION ET DE TRANSACTION PAR TYPE DE PAIEMENT</a:t>
            </a:r>
            <a:endParaRPr lang="fr-CM" sz="1200" b="1">
              <a:solidFill>
                <a:schemeClr val="accent1"/>
              </a:solidFill>
              <a:latin typeface="Cooper Black" panose="0208090404030B020404" pitchFamily="18" charset="0"/>
            </a:endParaRPr>
          </a:p>
        </xdr:txBody>
      </xdr:sp>
      <xdr:pic>
        <xdr:nvPicPr>
          <xdr:cNvPr id="66" name="Image 65">
            <a:extLst>
              <a:ext uri="{FF2B5EF4-FFF2-40B4-BE49-F238E27FC236}">
                <a16:creationId xmlns:a16="http://schemas.microsoft.com/office/drawing/2014/main" id="{0119956E-DE0A-4A7B-A5C4-82F585515D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13360" y="8298180"/>
            <a:ext cx="791597" cy="922021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552315</xdr:colOff>
      <xdr:row>23</xdr:row>
      <xdr:rowOff>175259</xdr:rowOff>
    </xdr:from>
    <xdr:to>
      <xdr:col>10</xdr:col>
      <xdr:colOff>586738</xdr:colOff>
      <xdr:row>30</xdr:row>
      <xdr:rowOff>38099</xdr:rowOff>
    </xdr:to>
    <xdr:grpSp>
      <xdr:nvGrpSpPr>
        <xdr:cNvPr id="69" name="Groupe 68">
          <a:extLst>
            <a:ext uri="{FF2B5EF4-FFF2-40B4-BE49-F238E27FC236}">
              <a16:creationId xmlns:a16="http://schemas.microsoft.com/office/drawing/2014/main" id="{CF14B43B-5066-452A-8441-505A61B2F1EA}"/>
            </a:ext>
          </a:extLst>
        </xdr:cNvPr>
        <xdr:cNvGrpSpPr/>
      </xdr:nvGrpSpPr>
      <xdr:grpSpPr>
        <a:xfrm>
          <a:off x="6267315" y="4320539"/>
          <a:ext cx="1619383" cy="1143000"/>
          <a:chOff x="41490" y="1821181"/>
          <a:chExt cx="2908861" cy="1120139"/>
        </a:xfrm>
      </xdr:grpSpPr>
      <xdr:sp macro="" textlink="Calcul!AH4">
        <xdr:nvSpPr>
          <xdr:cNvPr id="70" name="Rectangle 69">
            <a:extLst>
              <a:ext uri="{FF2B5EF4-FFF2-40B4-BE49-F238E27FC236}">
                <a16:creationId xmlns:a16="http://schemas.microsoft.com/office/drawing/2014/main" id="{EDC53818-FBC2-1095-E7DF-A25640FADB80}"/>
              </a:ext>
            </a:extLst>
          </xdr:cNvPr>
          <xdr:cNvSpPr/>
        </xdr:nvSpPr>
        <xdr:spPr>
          <a:xfrm>
            <a:off x="1266774" y="2323033"/>
            <a:ext cx="1683577" cy="618287"/>
          </a:xfrm>
          <a:prstGeom prst="rect">
            <a:avLst/>
          </a:prstGeom>
          <a:solidFill>
            <a:schemeClr val="accent5"/>
          </a:solidFill>
          <a:ln w="3810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48DC29E-78C1-45A4-93CC-80DB7E09F59E}" type="TxLink">
              <a:rPr lang="en-US" sz="2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101</a:t>
            </a:fld>
            <a:endParaRPr lang="fr-CM" sz="2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71" name="Image 70">
            <a:extLst>
              <a:ext uri="{FF2B5EF4-FFF2-40B4-BE49-F238E27FC236}">
                <a16:creationId xmlns:a16="http://schemas.microsoft.com/office/drawing/2014/main" id="{4DF1B539-8D0C-A39F-04F3-96FE17C486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41490" y="2314043"/>
            <a:ext cx="1115783" cy="529136"/>
          </a:xfrm>
          <a:prstGeom prst="rect">
            <a:avLst/>
          </a:prstGeom>
        </xdr:spPr>
      </xdr:pic>
      <xdr:sp macro="" textlink="">
        <xdr:nvSpPr>
          <xdr:cNvPr id="72" name="ZoneTexte 71">
            <a:extLst>
              <a:ext uri="{FF2B5EF4-FFF2-40B4-BE49-F238E27FC236}">
                <a16:creationId xmlns:a16="http://schemas.microsoft.com/office/drawing/2014/main" id="{7C65752E-7D6C-380E-8AA4-0C3BD53E6E25}"/>
              </a:ext>
            </a:extLst>
          </xdr:cNvPr>
          <xdr:cNvSpPr txBox="1"/>
        </xdr:nvSpPr>
        <xdr:spPr>
          <a:xfrm>
            <a:off x="171765" y="1821181"/>
            <a:ext cx="2723837" cy="449579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CM" sz="1200" b="1">
                <a:solidFill>
                  <a:schemeClr val="accent1"/>
                </a:solidFill>
                <a:latin typeface="Cooper Black" panose="0208090404030B020404" pitchFamily="18" charset="0"/>
              </a:rPr>
              <a:t>QUANTITE VENDUE</a:t>
            </a:r>
          </a:p>
        </xdr:txBody>
      </xdr:sp>
    </xdr:grpSp>
    <xdr:clientData/>
  </xdr:twoCellAnchor>
  <xdr:twoCellAnchor>
    <xdr:from>
      <xdr:col>1</xdr:col>
      <xdr:colOff>7620</xdr:colOff>
      <xdr:row>1</xdr:row>
      <xdr:rowOff>15239</xdr:rowOff>
    </xdr:from>
    <xdr:to>
      <xdr:col>3</xdr:col>
      <xdr:colOff>784860</xdr:colOff>
      <xdr:row>5</xdr:row>
      <xdr:rowOff>162818</xdr:rowOff>
    </xdr:to>
    <xdr:pic>
      <xdr:nvPicPr>
        <xdr:cNvPr id="78" name="Image 77">
          <a:extLst>
            <a:ext uri="{FF2B5EF4-FFF2-40B4-BE49-F238E27FC236}">
              <a16:creationId xmlns:a16="http://schemas.microsoft.com/office/drawing/2014/main" id="{BCA6A233-4FFA-4478-A18B-82DCC9983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260" y="106679"/>
          <a:ext cx="2362200" cy="879099"/>
        </a:xfrm>
        <a:prstGeom prst="rect">
          <a:avLst/>
        </a:prstGeom>
      </xdr:spPr>
    </xdr:pic>
    <xdr:clientData/>
  </xdr:twoCellAnchor>
  <xdr:twoCellAnchor>
    <xdr:from>
      <xdr:col>5</xdr:col>
      <xdr:colOff>7620</xdr:colOff>
      <xdr:row>30</xdr:row>
      <xdr:rowOff>106680</xdr:rowOff>
    </xdr:from>
    <xdr:to>
      <xdr:col>13</xdr:col>
      <xdr:colOff>777240</xdr:colOff>
      <xdr:row>44</xdr:row>
      <xdr:rowOff>152400</xdr:rowOff>
    </xdr:to>
    <xdr:grpSp>
      <xdr:nvGrpSpPr>
        <xdr:cNvPr id="94" name="Groupe 93">
          <a:extLst>
            <a:ext uri="{FF2B5EF4-FFF2-40B4-BE49-F238E27FC236}">
              <a16:creationId xmlns:a16="http://schemas.microsoft.com/office/drawing/2014/main" id="{E52665B5-9C5C-B278-8723-E81114628D6B}"/>
            </a:ext>
          </a:extLst>
        </xdr:cNvPr>
        <xdr:cNvGrpSpPr/>
      </xdr:nvGrpSpPr>
      <xdr:grpSpPr>
        <a:xfrm>
          <a:off x="3345180" y="5532120"/>
          <a:ext cx="7147560" cy="2606040"/>
          <a:chOff x="3345180" y="5532120"/>
          <a:chExt cx="7147560" cy="2606040"/>
        </a:xfrm>
      </xdr:grpSpPr>
      <xdr:sp macro="" textlink="">
        <xdr:nvSpPr>
          <xdr:cNvPr id="53" name="ZoneTexte 52">
            <a:extLst>
              <a:ext uri="{FF2B5EF4-FFF2-40B4-BE49-F238E27FC236}">
                <a16:creationId xmlns:a16="http://schemas.microsoft.com/office/drawing/2014/main" id="{9F9E29E5-3D4C-41C7-99D6-E8047276A837}"/>
              </a:ext>
            </a:extLst>
          </xdr:cNvPr>
          <xdr:cNvSpPr txBox="1"/>
        </xdr:nvSpPr>
        <xdr:spPr>
          <a:xfrm>
            <a:off x="4442460" y="5547360"/>
            <a:ext cx="6050280" cy="662940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CM" sz="1200" b="1">
                <a:solidFill>
                  <a:schemeClr val="accent1"/>
                </a:solidFill>
                <a:latin typeface="Cooper Black" panose="0208090404030B020404" pitchFamily="18" charset="0"/>
              </a:rPr>
              <a:t>CHIFFRE D'AFFAIRE, COUT</a:t>
            </a:r>
            <a:r>
              <a:rPr lang="fr-CM" sz="1200" b="1" baseline="0">
                <a:solidFill>
                  <a:schemeClr val="accent1"/>
                </a:solidFill>
                <a:latin typeface="Cooper Black" panose="0208090404030B020404" pitchFamily="18" charset="0"/>
              </a:rPr>
              <a:t> D'ACHAT ET BENEFICE DES PRODUITS EN FONCTION DE LA DATE DE VENTE</a:t>
            </a:r>
            <a:endParaRPr lang="fr-CM" sz="1200" b="1">
              <a:solidFill>
                <a:schemeClr val="accent1"/>
              </a:solidFill>
              <a:latin typeface="Cooper Black" panose="0208090404030B020404" pitchFamily="18" charset="0"/>
            </a:endParaRPr>
          </a:p>
        </xdr:txBody>
      </xdr:sp>
      <xdr:graphicFrame macro="">
        <xdr:nvGraphicFramePr>
          <xdr:cNvPr id="54" name="Graphique 53">
            <a:extLst>
              <a:ext uri="{FF2B5EF4-FFF2-40B4-BE49-F238E27FC236}">
                <a16:creationId xmlns:a16="http://schemas.microsoft.com/office/drawing/2014/main" id="{6EE9D75B-035F-4B53-9898-5EF7CF54DE7A}"/>
              </a:ext>
            </a:extLst>
          </xdr:cNvPr>
          <xdr:cNvGraphicFramePr>
            <a:graphicFrameLocks/>
          </xdr:cNvGraphicFramePr>
        </xdr:nvGraphicFramePr>
        <xdr:xfrm>
          <a:off x="3345180" y="6233160"/>
          <a:ext cx="7139940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pic>
        <xdr:nvPicPr>
          <xdr:cNvPr id="82" name="Image 81">
            <a:extLst>
              <a:ext uri="{FF2B5EF4-FFF2-40B4-BE49-F238E27FC236}">
                <a16:creationId xmlns:a16="http://schemas.microsoft.com/office/drawing/2014/main" id="{2357799A-E743-478B-844C-3AAF494342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368040" y="5532120"/>
            <a:ext cx="1082040" cy="728510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228600</xdr:colOff>
      <xdr:row>45</xdr:row>
      <xdr:rowOff>152400</xdr:rowOff>
    </xdr:from>
    <xdr:to>
      <xdr:col>13</xdr:col>
      <xdr:colOff>769620</xdr:colOff>
      <xdr:row>64</xdr:row>
      <xdr:rowOff>152400</xdr:rowOff>
    </xdr:to>
    <xdr:grpSp>
      <xdr:nvGrpSpPr>
        <xdr:cNvPr id="95" name="Groupe 94">
          <a:extLst>
            <a:ext uri="{FF2B5EF4-FFF2-40B4-BE49-F238E27FC236}">
              <a16:creationId xmlns:a16="http://schemas.microsoft.com/office/drawing/2014/main" id="{1970C82D-A486-AC5E-573D-F9BEE2814781}"/>
            </a:ext>
          </a:extLst>
        </xdr:cNvPr>
        <xdr:cNvGrpSpPr/>
      </xdr:nvGrpSpPr>
      <xdr:grpSpPr>
        <a:xfrm>
          <a:off x="7528560" y="8321040"/>
          <a:ext cx="2956560" cy="3474720"/>
          <a:chOff x="7528560" y="8321040"/>
          <a:chExt cx="2956560" cy="3474720"/>
        </a:xfrm>
      </xdr:grpSpPr>
      <xdr:graphicFrame macro="">
        <xdr:nvGraphicFramePr>
          <xdr:cNvPr id="63" name="Graphique 62">
            <a:extLst>
              <a:ext uri="{FF2B5EF4-FFF2-40B4-BE49-F238E27FC236}">
                <a16:creationId xmlns:a16="http://schemas.microsoft.com/office/drawing/2014/main" id="{5DEB03E0-469B-427B-80B3-15839645FF77}"/>
              </a:ext>
            </a:extLst>
          </xdr:cNvPr>
          <xdr:cNvGraphicFramePr>
            <a:graphicFrameLocks/>
          </xdr:cNvGraphicFramePr>
        </xdr:nvGraphicFramePr>
        <xdr:xfrm>
          <a:off x="7528560" y="9151620"/>
          <a:ext cx="2956560" cy="26441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  <xdr:sp macro="" textlink="">
        <xdr:nvSpPr>
          <xdr:cNvPr id="64" name="ZoneTexte 63">
            <a:extLst>
              <a:ext uri="{FF2B5EF4-FFF2-40B4-BE49-F238E27FC236}">
                <a16:creationId xmlns:a16="http://schemas.microsoft.com/office/drawing/2014/main" id="{B394B22A-D31F-460F-81CF-99BBCDE7D707}"/>
              </a:ext>
            </a:extLst>
          </xdr:cNvPr>
          <xdr:cNvSpPr txBox="1"/>
        </xdr:nvSpPr>
        <xdr:spPr>
          <a:xfrm>
            <a:off x="8351520" y="8321040"/>
            <a:ext cx="2133600" cy="815340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CM" sz="1200" b="1">
                <a:solidFill>
                  <a:schemeClr val="accent1"/>
                </a:solidFill>
                <a:latin typeface="Cooper Black" panose="0208090404030B020404" pitchFamily="18" charset="0"/>
              </a:rPr>
              <a:t>PART DU MARCHE PAR CATEGORIE</a:t>
            </a:r>
          </a:p>
        </xdr:txBody>
      </xdr:sp>
      <xdr:pic>
        <xdr:nvPicPr>
          <xdr:cNvPr id="83" name="Image 82">
            <a:extLst>
              <a:ext uri="{FF2B5EF4-FFF2-40B4-BE49-F238E27FC236}">
                <a16:creationId xmlns:a16="http://schemas.microsoft.com/office/drawing/2014/main" id="{9950CAA1-61C4-404C-B147-2F7464305B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551420" y="8374380"/>
            <a:ext cx="792480" cy="7620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15240</xdr:colOff>
      <xdr:row>65</xdr:row>
      <xdr:rowOff>38100</xdr:rowOff>
    </xdr:from>
    <xdr:to>
      <xdr:col>8</xdr:col>
      <xdr:colOff>7620</xdr:colOff>
      <xdr:row>94</xdr:row>
      <xdr:rowOff>83820</xdr:rowOff>
    </xdr:to>
    <xdr:grpSp>
      <xdr:nvGrpSpPr>
        <xdr:cNvPr id="96" name="Groupe 95">
          <a:extLst>
            <a:ext uri="{FF2B5EF4-FFF2-40B4-BE49-F238E27FC236}">
              <a16:creationId xmlns:a16="http://schemas.microsoft.com/office/drawing/2014/main" id="{92D1F5F4-CC51-F4A1-8E25-F11F0DC98EC0}"/>
            </a:ext>
          </a:extLst>
        </xdr:cNvPr>
        <xdr:cNvGrpSpPr/>
      </xdr:nvGrpSpPr>
      <xdr:grpSpPr>
        <a:xfrm>
          <a:off x="182880" y="11864340"/>
          <a:ext cx="5539740" cy="5349240"/>
          <a:chOff x="182880" y="11864340"/>
          <a:chExt cx="6202680" cy="5242560"/>
        </a:xfrm>
      </xdr:grpSpPr>
      <xdr:sp macro="" textlink="">
        <xdr:nvSpPr>
          <xdr:cNvPr id="55" name="ZoneTexte 54">
            <a:extLst>
              <a:ext uri="{FF2B5EF4-FFF2-40B4-BE49-F238E27FC236}">
                <a16:creationId xmlns:a16="http://schemas.microsoft.com/office/drawing/2014/main" id="{E244681C-341A-4925-A275-86B52FBDFBAC}"/>
              </a:ext>
            </a:extLst>
          </xdr:cNvPr>
          <xdr:cNvSpPr txBox="1"/>
        </xdr:nvSpPr>
        <xdr:spPr>
          <a:xfrm>
            <a:off x="1341120" y="11864340"/>
            <a:ext cx="5044440" cy="708660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CM" sz="1200" b="1">
                <a:solidFill>
                  <a:schemeClr val="accent1"/>
                </a:solidFill>
                <a:latin typeface="Cooper Black" panose="0208090404030B020404" pitchFamily="18" charset="0"/>
              </a:rPr>
              <a:t>RATIO</a:t>
            </a:r>
            <a:r>
              <a:rPr lang="fr-CM" sz="1200" b="1" baseline="0">
                <a:solidFill>
                  <a:schemeClr val="accent1"/>
                </a:solidFill>
                <a:latin typeface="Cooper Black" panose="0208090404030B020404" pitchFamily="18" charset="0"/>
              </a:rPr>
              <a:t> DE CONTRIBUTION PAR PRODUIT</a:t>
            </a:r>
            <a:endParaRPr lang="fr-CM" sz="1200" b="1">
              <a:solidFill>
                <a:schemeClr val="accent1"/>
              </a:solidFill>
              <a:latin typeface="Cooper Black" panose="0208090404030B020404" pitchFamily="18" charset="0"/>
            </a:endParaRPr>
          </a:p>
        </xdr:txBody>
      </xdr:sp>
      <xdr:graphicFrame macro="">
        <xdr:nvGraphicFramePr>
          <xdr:cNvPr id="56" name="Graphique 55">
            <a:extLst>
              <a:ext uri="{FF2B5EF4-FFF2-40B4-BE49-F238E27FC236}">
                <a16:creationId xmlns:a16="http://schemas.microsoft.com/office/drawing/2014/main" id="{8F99270D-9E09-4DD6-957E-E843E72676E3}"/>
              </a:ext>
            </a:extLst>
          </xdr:cNvPr>
          <xdr:cNvGraphicFramePr>
            <a:graphicFrameLocks/>
          </xdr:cNvGraphicFramePr>
        </xdr:nvGraphicFramePr>
        <xdr:xfrm>
          <a:off x="182880" y="12573000"/>
          <a:ext cx="6202680" cy="4533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4"/>
          </a:graphicData>
        </a:graphic>
      </xdr:graphicFrame>
      <xdr:pic>
        <xdr:nvPicPr>
          <xdr:cNvPr id="84" name="Image 83">
            <a:extLst>
              <a:ext uri="{FF2B5EF4-FFF2-40B4-BE49-F238E27FC236}">
                <a16:creationId xmlns:a16="http://schemas.microsoft.com/office/drawing/2014/main" id="{20BB4211-3E38-41B9-AC41-C406298F2C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98120" y="11879580"/>
            <a:ext cx="1112520" cy="706590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106680</xdr:colOff>
      <xdr:row>1</xdr:row>
      <xdr:rowOff>38100</xdr:rowOff>
    </xdr:from>
    <xdr:to>
      <xdr:col>13</xdr:col>
      <xdr:colOff>784860</xdr:colOff>
      <xdr:row>5</xdr:row>
      <xdr:rowOff>147579</xdr:rowOff>
    </xdr:to>
    <xdr:pic>
      <xdr:nvPicPr>
        <xdr:cNvPr id="85" name="Image 84">
          <a:extLst>
            <a:ext uri="{FF2B5EF4-FFF2-40B4-BE49-F238E27FC236}">
              <a16:creationId xmlns:a16="http://schemas.microsoft.com/office/drawing/2014/main" id="{9076078E-76C1-412C-BD11-14622278D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37220" y="129540"/>
          <a:ext cx="2263140" cy="840999"/>
        </a:xfrm>
        <a:prstGeom prst="rect">
          <a:avLst/>
        </a:prstGeom>
      </xdr:spPr>
    </xdr:pic>
    <xdr:clientData/>
  </xdr:twoCellAnchor>
  <xdr:twoCellAnchor>
    <xdr:from>
      <xdr:col>1</xdr:col>
      <xdr:colOff>7620</xdr:colOff>
      <xdr:row>8</xdr:row>
      <xdr:rowOff>18833</xdr:rowOff>
    </xdr:from>
    <xdr:to>
      <xdr:col>4</xdr:col>
      <xdr:colOff>678180</xdr:colOff>
      <xdr:row>15</xdr:row>
      <xdr:rowOff>144780</xdr:rowOff>
    </xdr:to>
    <xdr:grpSp>
      <xdr:nvGrpSpPr>
        <xdr:cNvPr id="91" name="Groupe 90">
          <a:extLst>
            <a:ext uri="{FF2B5EF4-FFF2-40B4-BE49-F238E27FC236}">
              <a16:creationId xmlns:a16="http://schemas.microsoft.com/office/drawing/2014/main" id="{02413A63-6A0C-1552-1B31-975123CF8FB1}"/>
            </a:ext>
          </a:extLst>
        </xdr:cNvPr>
        <xdr:cNvGrpSpPr/>
      </xdr:nvGrpSpPr>
      <xdr:grpSpPr>
        <a:xfrm>
          <a:off x="175260" y="1413293"/>
          <a:ext cx="3048000" cy="1413727"/>
          <a:chOff x="175260" y="1413293"/>
          <a:chExt cx="3048000" cy="1413727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3" name="Année">
                <a:extLst>
                  <a:ext uri="{FF2B5EF4-FFF2-40B4-BE49-F238E27FC236}">
                    <a16:creationId xmlns:a16="http://schemas.microsoft.com/office/drawing/2014/main" id="{AA3FF29B-DB46-4D18-A882-E56CEC07C7DC}"/>
                  </a:ext>
                </a:extLst>
              </xdr:cNvPr>
              <xdr:cNvGraphicFramePr/>
            </xdr:nvGraphicFramePr>
            <xdr:xfrm>
              <a:off x="175260" y="1866900"/>
              <a:ext cx="1028700" cy="960120"/>
            </xdr:xfrm>
            <a:graphic>
              <a:graphicData uri="http://schemas.microsoft.com/office/drawing/2010/slicer">
                <sle:slicer xmlns:sle="http://schemas.microsoft.com/office/drawing/2010/slicer" name="Anné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75260" y="1866900"/>
                <a:ext cx="1028700" cy="96012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CM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4" name="Mois">
                <a:extLst>
                  <a:ext uri="{FF2B5EF4-FFF2-40B4-BE49-F238E27FC236}">
                    <a16:creationId xmlns:a16="http://schemas.microsoft.com/office/drawing/2014/main" id="{8BA0B024-CF57-4CEF-9ADF-71B3B5B2D306}"/>
                  </a:ext>
                </a:extLst>
              </xdr:cNvPr>
              <xdr:cNvGraphicFramePr/>
            </xdr:nvGraphicFramePr>
            <xdr:xfrm>
              <a:off x="1196340" y="1413293"/>
              <a:ext cx="2026920" cy="1406107"/>
            </xdr:xfrm>
            <a:graphic>
              <a:graphicData uri="http://schemas.microsoft.com/office/drawing/2010/slicer">
                <sle:slicer xmlns:sle="http://schemas.microsoft.com/office/drawing/2010/slicer" name="Mois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196340" y="1413293"/>
                <a:ext cx="2026920" cy="140610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CM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xdr:pic>
        <xdr:nvPicPr>
          <xdr:cNvPr id="87" name="Image 86">
            <a:extLst>
              <a:ext uri="{FF2B5EF4-FFF2-40B4-BE49-F238E27FC236}">
                <a16:creationId xmlns:a16="http://schemas.microsoft.com/office/drawing/2014/main" id="{6AE2A757-09B9-4370-934A-A188666CFD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66700" y="1432560"/>
            <a:ext cx="739140" cy="44196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708660</xdr:colOff>
      <xdr:row>8</xdr:row>
      <xdr:rowOff>48291</xdr:rowOff>
    </xdr:from>
    <xdr:to>
      <xdr:col>6</xdr:col>
      <xdr:colOff>266700</xdr:colOff>
      <xdr:row>15</xdr:row>
      <xdr:rowOff>137160</xdr:rowOff>
    </xdr:to>
    <xdr:grpSp>
      <xdr:nvGrpSpPr>
        <xdr:cNvPr id="92" name="Groupe 91">
          <a:extLst>
            <a:ext uri="{FF2B5EF4-FFF2-40B4-BE49-F238E27FC236}">
              <a16:creationId xmlns:a16="http://schemas.microsoft.com/office/drawing/2014/main" id="{3A48BE34-3043-14FF-CD6F-5BBD33EA209F}"/>
            </a:ext>
          </a:extLst>
        </xdr:cNvPr>
        <xdr:cNvGrpSpPr/>
      </xdr:nvGrpSpPr>
      <xdr:grpSpPr>
        <a:xfrm>
          <a:off x="3253740" y="1442751"/>
          <a:ext cx="1143000" cy="1376649"/>
          <a:chOff x="3253740" y="1442751"/>
          <a:chExt cx="1143000" cy="1376649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3" name="PAYMENT MODE">
                <a:extLst>
                  <a:ext uri="{FF2B5EF4-FFF2-40B4-BE49-F238E27FC236}">
                    <a16:creationId xmlns:a16="http://schemas.microsoft.com/office/drawing/2014/main" id="{3820DFCF-E019-4381-8733-84419B3C3600}"/>
                  </a:ext>
                </a:extLst>
              </xdr:cNvPr>
              <xdr:cNvGraphicFramePr/>
            </xdr:nvGraphicFramePr>
            <xdr:xfrm>
              <a:off x="3253740" y="1920240"/>
              <a:ext cx="1143000" cy="899160"/>
            </xdr:xfrm>
            <a:graphic>
              <a:graphicData uri="http://schemas.microsoft.com/office/drawing/2010/slicer">
                <sle:slicer xmlns:sle="http://schemas.microsoft.com/office/drawing/2010/slicer" name="PAYMENT MOD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253740" y="1920240"/>
                <a:ext cx="1143000" cy="89916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CM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xdr:pic>
        <xdr:nvPicPr>
          <xdr:cNvPr id="88" name="Image 87">
            <a:extLst>
              <a:ext uri="{FF2B5EF4-FFF2-40B4-BE49-F238E27FC236}">
                <a16:creationId xmlns:a16="http://schemas.microsoft.com/office/drawing/2014/main" id="{B881A101-D1A7-4299-9BCF-62DB0623EF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253740" y="1442751"/>
            <a:ext cx="1112520" cy="457889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480060</xdr:colOff>
      <xdr:row>8</xdr:row>
      <xdr:rowOff>7620</xdr:rowOff>
    </xdr:from>
    <xdr:to>
      <xdr:col>13</xdr:col>
      <xdr:colOff>784860</xdr:colOff>
      <xdr:row>15</xdr:row>
      <xdr:rowOff>144780</xdr:rowOff>
    </xdr:to>
    <xdr:grpSp>
      <xdr:nvGrpSpPr>
        <xdr:cNvPr id="93" name="Groupe 92">
          <a:extLst>
            <a:ext uri="{FF2B5EF4-FFF2-40B4-BE49-F238E27FC236}">
              <a16:creationId xmlns:a16="http://schemas.microsoft.com/office/drawing/2014/main" id="{174FB846-CC65-2A9B-828D-A57A803BE9A5}"/>
            </a:ext>
          </a:extLst>
        </xdr:cNvPr>
        <xdr:cNvGrpSpPr/>
      </xdr:nvGrpSpPr>
      <xdr:grpSpPr>
        <a:xfrm>
          <a:off x="6195060" y="1402080"/>
          <a:ext cx="4305300" cy="1424940"/>
          <a:chOff x="6195060" y="1402080"/>
          <a:chExt cx="4305300" cy="142494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9" name="BD_2.CATEGORY">
                <a:extLst>
                  <a:ext uri="{FF2B5EF4-FFF2-40B4-BE49-F238E27FC236}">
                    <a16:creationId xmlns:a16="http://schemas.microsoft.com/office/drawing/2014/main" id="{7D9272A5-09E7-4BF1-BD3D-A95215117D1C}"/>
                  </a:ext>
                </a:extLst>
              </xdr:cNvPr>
              <xdr:cNvGraphicFramePr/>
            </xdr:nvGraphicFramePr>
            <xdr:xfrm>
              <a:off x="6195060" y="1836420"/>
              <a:ext cx="1775460" cy="990600"/>
            </xdr:xfrm>
            <a:graphic>
              <a:graphicData uri="http://schemas.microsoft.com/office/drawing/2010/slicer">
                <sle:slicer xmlns:sle="http://schemas.microsoft.com/office/drawing/2010/slicer" name="BD_2.CATEGORY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195060" y="1836420"/>
                <a:ext cx="1775460" cy="9906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CM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1" name="BD_2.PRODUCT">
                <a:extLst>
                  <a:ext uri="{FF2B5EF4-FFF2-40B4-BE49-F238E27FC236}">
                    <a16:creationId xmlns:a16="http://schemas.microsoft.com/office/drawing/2014/main" id="{2EE2AC8A-1157-433F-BBCE-F42BDC4AF945}"/>
                  </a:ext>
                </a:extLst>
              </xdr:cNvPr>
              <xdr:cNvGraphicFramePr/>
            </xdr:nvGraphicFramePr>
            <xdr:xfrm>
              <a:off x="7955280" y="1424941"/>
              <a:ext cx="2545080" cy="1402079"/>
            </xdr:xfrm>
            <a:graphic>
              <a:graphicData uri="http://schemas.microsoft.com/office/drawing/2010/slicer">
                <sle:slicer xmlns:sle="http://schemas.microsoft.com/office/drawing/2010/slicer" name="BD_2.PRODUCT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955280" y="1424941"/>
                <a:ext cx="2545080" cy="140207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CM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xdr:pic>
        <xdr:nvPicPr>
          <xdr:cNvPr id="89" name="Image 88">
            <a:extLst>
              <a:ext uri="{FF2B5EF4-FFF2-40B4-BE49-F238E27FC236}">
                <a16:creationId xmlns:a16="http://schemas.microsoft.com/office/drawing/2014/main" id="{23A4BF00-0496-4650-8C45-E6D83130A7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6537960" y="1402080"/>
            <a:ext cx="1394460" cy="419100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anchard" refreshedDate="45096.612489467596" createdVersion="8" refreshedVersion="8" minRefreshableVersion="3" recordCount="527" xr:uid="{52EFE6AE-94EA-4099-94AB-814A2324092E}">
  <cacheSource type="worksheet">
    <worksheetSource name="Base_ventes"/>
  </cacheSource>
  <cacheFields count="20">
    <cacheField name="DATE" numFmtId="14">
      <sharedItems containsSemiMixedTypes="0" containsNonDate="0" containsDate="1" containsString="0" minDate="2021-01-01T00:00:00" maxDate="2023-01-01T00:00:00" count="374">
        <d v="2021-01-01T00:00:00"/>
        <d v="2021-01-26T00:00:00"/>
        <d v="2021-01-02T00:00:00"/>
        <d v="2021-02-22T00:00:00"/>
        <d v="2021-01-09T00:00:00"/>
        <d v="2021-01-21T00:00:00"/>
        <d v="2021-01-03T00:00:00"/>
        <d v="2021-01-28T00:00:00"/>
        <d v="2021-01-04T00:00:00"/>
        <d v="2021-01-19T00:00:00"/>
        <d v="2021-01-25T00:00:00"/>
        <d v="2021-02-06T00:00:00"/>
        <d v="2021-02-05T00:00:00"/>
        <d v="2021-02-23T00:00:00"/>
        <d v="2021-02-12T00:00:00"/>
        <d v="2021-01-11T00:00:00"/>
        <d v="2021-02-04T00:00:00"/>
        <d v="2021-02-02T00:00:00"/>
        <d v="2021-01-12T00:00:00"/>
        <d v="2021-01-18T00:00:00"/>
        <d v="2021-02-18T00:00:00"/>
        <d v="2021-01-20T00:00:00"/>
        <d v="2021-02-09T00:00:00"/>
        <d v="2021-02-03T00:00:00"/>
        <d v="2021-01-27T00:00:00"/>
        <d v="2021-02-15T00:00:00"/>
        <d v="2021-02-20T00:00:00"/>
        <d v="2021-02-25T00:00:00"/>
        <d v="2021-02-27T00:00:00"/>
        <d v="2021-03-03T00:00:00"/>
        <d v="2021-03-07T00:00:00"/>
        <d v="2021-03-08T00:00:00"/>
        <d v="2021-03-09T00:00:00"/>
        <d v="2021-03-11T00:00:00"/>
        <d v="2021-03-13T00:00:00"/>
        <d v="2021-03-15T00:00:00"/>
        <d v="2021-03-16T00:00:00"/>
        <d v="2021-03-18T00:00:00"/>
        <d v="2021-03-19T00:00:00"/>
        <d v="2021-03-21T00:00:00"/>
        <d v="2021-03-22T00:00:00"/>
        <d v="2021-03-25T00:00:00"/>
        <d v="2021-03-26T00:00:00"/>
        <d v="2021-03-27T00:00:00"/>
        <d v="2021-03-28T00:00:00"/>
        <d v="2021-03-30T00:00:00"/>
        <d v="2021-03-31T00:00:00"/>
        <d v="2021-04-04T00:00:00"/>
        <d v="2021-04-05T00:00:00"/>
        <d v="2021-04-09T00:00:00"/>
        <d v="2021-04-10T00:00:00"/>
        <d v="2021-04-12T00:00:00"/>
        <d v="2021-04-15T00:00:00"/>
        <d v="2021-04-16T00:00:00"/>
        <d v="2021-04-18T00:00:00"/>
        <d v="2021-04-23T00:00:00"/>
        <d v="2021-04-24T00:00:00"/>
        <d v="2021-04-26T00:00:00"/>
        <d v="2021-04-29T00:00:00"/>
        <d v="2021-04-30T00:00:00"/>
        <d v="2021-05-01T00:00:00"/>
        <d v="2021-05-03T00:00:00"/>
        <d v="2021-05-04T00:00:00"/>
        <d v="2021-05-05T00:00:00"/>
        <d v="2021-05-06T00:00:00"/>
        <d v="2021-05-07T00:00:00"/>
        <d v="2021-05-09T00:00:00"/>
        <d v="2021-05-12T00:00:00"/>
        <d v="2021-05-13T00:00:00"/>
        <d v="2021-05-20T00:00:00"/>
        <d v="2021-05-23T00:00:00"/>
        <d v="2021-05-30T00:00:00"/>
        <d v="2021-06-03T00:00:00"/>
        <d v="2021-06-04T00:00:00"/>
        <d v="2021-06-05T00:00:00"/>
        <d v="2021-06-06T00:00:00"/>
        <d v="2021-06-08T00:00:00"/>
        <d v="2021-06-09T00:00:00"/>
        <d v="2021-06-11T00:00:00"/>
        <d v="2021-06-12T00:00:00"/>
        <d v="2021-06-14T00:00:00"/>
        <d v="2021-06-16T00:00:00"/>
        <d v="2021-06-18T00:00:00"/>
        <d v="2021-06-19T00:00:00"/>
        <d v="2021-06-20T00:00:00"/>
        <d v="2021-06-23T00:00:00"/>
        <d v="2021-06-24T00:00:00"/>
        <d v="2021-06-26T00:00:00"/>
        <d v="2021-06-27T00:00:00"/>
        <d v="2021-06-28T00:00:00"/>
        <d v="2021-06-29T00:00:00"/>
        <d v="2021-07-01T00:00:00"/>
        <d v="2021-07-02T00:00:00"/>
        <d v="2021-07-03T00:00:00"/>
        <d v="2021-07-05T00:00:00"/>
        <d v="2021-07-06T00:00:00"/>
        <d v="2021-07-08T00:00:00"/>
        <d v="2021-07-10T00:00:00"/>
        <d v="2021-07-11T00:00:00"/>
        <d v="2021-07-13T00:00:00"/>
        <d v="2021-07-16T00:00:00"/>
        <d v="2021-07-18T00:00:00"/>
        <d v="2021-07-20T00:00:00"/>
        <d v="2021-07-21T00:00:00"/>
        <d v="2021-07-22T00:00:00"/>
        <d v="2021-07-23T00:00:00"/>
        <d v="2021-07-24T00:00:00"/>
        <d v="2021-07-29T00:00:00"/>
        <d v="2021-08-01T00:00:00"/>
        <d v="2021-08-02T00:00:00"/>
        <d v="2021-08-03T00:00:00"/>
        <d v="2021-08-05T00:00:00"/>
        <d v="2021-08-06T00:00:00"/>
        <d v="2021-08-10T00:00:00"/>
        <d v="2021-08-11T00:00:00"/>
        <d v="2021-08-13T00:00:00"/>
        <d v="2021-08-16T00:00:00"/>
        <d v="2021-08-18T00:00:00"/>
        <d v="2021-08-20T00:00:00"/>
        <d v="2021-08-26T00:00:00"/>
        <d v="2021-08-29T00:00:00"/>
        <d v="2021-08-30T00:00:00"/>
        <d v="2021-08-31T00:00:00"/>
        <d v="2021-09-01T00:00:00"/>
        <d v="2021-09-03T00:00:00"/>
        <d v="2021-09-04T00:00:00"/>
        <d v="2021-09-05T00:00:00"/>
        <d v="2021-09-07T00:00:00"/>
        <d v="2021-09-09T00:00:00"/>
        <d v="2021-09-10T00:00:00"/>
        <d v="2021-09-11T00:00:00"/>
        <d v="2021-09-13T00:00:00"/>
        <d v="2021-09-15T00:00:00"/>
        <d v="2021-09-21T00:00:00"/>
        <d v="2021-09-22T00:00:00"/>
        <d v="2021-09-23T00:00:00"/>
        <d v="2021-09-27T00:00:00"/>
        <d v="2021-09-30T00:00:00"/>
        <d v="2021-10-01T00:00:00"/>
        <d v="2021-10-02T00:00:00"/>
        <d v="2021-10-03T00:00:00"/>
        <d v="2021-10-06T00:00:00"/>
        <d v="2021-10-07T00:00:00"/>
        <d v="2021-10-09T00:00:00"/>
        <d v="2021-10-10T00:00:00"/>
        <d v="2021-10-11T00:00:00"/>
        <d v="2021-10-12T00:00:00"/>
        <d v="2021-10-17T00:00:00"/>
        <d v="2021-10-18T00:00:00"/>
        <d v="2021-10-22T00:00:00"/>
        <d v="2021-10-24T00:00:00"/>
        <d v="2021-10-25T00:00:00"/>
        <d v="2021-10-26T00:00:00"/>
        <d v="2021-10-28T00:00:00"/>
        <d v="2021-10-29T00:00:00"/>
        <d v="2021-10-31T00:00:00"/>
        <d v="2021-11-03T00:00:00"/>
        <d v="2021-11-06T00:00:00"/>
        <d v="2021-11-08T00:00:00"/>
        <d v="2021-11-10T00:00:00"/>
        <d v="2021-11-11T00:00:00"/>
        <d v="2021-11-12T00:00:00"/>
        <d v="2021-11-20T00:00:00"/>
        <d v="2021-11-21T00:00:00"/>
        <d v="2021-11-27T00:00:00"/>
        <d v="2021-11-28T00:00:00"/>
        <d v="2021-11-30T00:00:00"/>
        <d v="2021-12-02T00:00:00"/>
        <d v="2021-12-03T00:00:00"/>
        <d v="2021-12-05T00:00:00"/>
        <d v="2021-12-07T00:00:00"/>
        <d v="2021-12-08T00:00:00"/>
        <d v="2021-12-14T00:00:00"/>
        <d v="2021-12-18T00:00:00"/>
        <d v="2021-12-19T00:00:00"/>
        <d v="2021-12-20T00:00:00"/>
        <d v="2021-12-21T00:00:00"/>
        <d v="2021-12-24T00:00:00"/>
        <d v="2021-12-26T00:00:00"/>
        <d v="2021-12-27T00:00:00"/>
        <d v="2021-12-28T00:00:00"/>
        <d v="2021-12-30T00:00:00"/>
        <d v="2022-01-01T00:00:00"/>
        <d v="2022-01-02T00:00:00"/>
        <d v="2022-01-03T00:00:00"/>
        <d v="2022-01-04T00:00:00"/>
        <d v="2022-01-09T00:00:00"/>
        <d v="2022-01-10T00:00:00"/>
        <d v="2022-01-11T00:00:00"/>
        <d v="2022-01-13T00:00:00"/>
        <d v="2022-01-14T00:00:00"/>
        <d v="2022-01-15T00:00:00"/>
        <d v="2022-01-16T00:00:00"/>
        <d v="2022-01-17T00:00:00"/>
        <d v="2022-01-18T00:00:00"/>
        <d v="2022-01-20T00:00:00"/>
        <d v="2022-01-22T00:00:00"/>
        <d v="2022-01-23T00:00:00"/>
        <d v="2022-01-24T00:00:00"/>
        <d v="2022-01-25T00:00:00"/>
        <d v="2022-01-28T00:00:00"/>
        <d v="2022-01-31T00:00:00"/>
        <d v="2022-02-01T00:00:00"/>
        <d v="2022-02-03T00:00:00"/>
        <d v="2022-02-05T00:00:00"/>
        <d v="2022-02-06T00:00:00"/>
        <d v="2022-02-08T00:00:00"/>
        <d v="2022-02-09T00:00:00"/>
        <d v="2022-02-12T00:00:00"/>
        <d v="2022-02-14T00:00:00"/>
        <d v="2022-02-16T00:00:00"/>
        <d v="2022-02-19T00:00:00"/>
        <d v="2022-02-20T00:00:00"/>
        <d v="2022-02-23T00:00:00"/>
        <d v="2022-02-27T00:00:00"/>
        <d v="2022-02-28T00:00:00"/>
        <d v="2022-03-04T00:00:00"/>
        <d v="2022-03-06T00:00:00"/>
        <d v="2022-03-07T00:00:00"/>
        <d v="2022-03-08T00:00:00"/>
        <d v="2022-03-09T00:00:00"/>
        <d v="2022-03-10T00:00:00"/>
        <d v="2022-03-14T00:00:00"/>
        <d v="2022-03-18T00:00:00"/>
        <d v="2022-03-19T00:00:00"/>
        <d v="2022-03-23T00:00:00"/>
        <d v="2022-03-25T00:00:00"/>
        <d v="2022-03-29T00:00:00"/>
        <d v="2022-03-30T00:00:00"/>
        <d v="2022-04-01T00:00:00"/>
        <d v="2022-04-02T00:00:00"/>
        <d v="2022-04-06T00:00:00"/>
        <d v="2022-04-07T00:00:00"/>
        <d v="2022-04-09T00:00:00"/>
        <d v="2022-04-13T00:00:00"/>
        <d v="2022-04-18T00:00:00"/>
        <d v="2022-04-20T00:00:00"/>
        <d v="2022-04-21T00:00:00"/>
        <d v="2022-04-23T00:00:00"/>
        <d v="2022-04-24T00:00:00"/>
        <d v="2022-04-25T00:00:00"/>
        <d v="2022-04-26T00:00:00"/>
        <d v="2022-04-28T00:00:00"/>
        <d v="2022-04-30T00:00:00"/>
        <d v="2022-05-01T00:00:00"/>
        <d v="2022-05-02T00:00:00"/>
        <d v="2022-05-04T00:00:00"/>
        <d v="2022-05-06T00:00:00"/>
        <d v="2022-05-07T00:00:00"/>
        <d v="2022-05-08T00:00:00"/>
        <d v="2022-05-09T00:00:00"/>
        <d v="2022-05-10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20T00:00:00"/>
        <d v="2022-05-22T00:00:00"/>
        <d v="2022-05-25T00:00:00"/>
        <d v="2022-05-26T00:00:00"/>
        <d v="2022-05-28T00:00:00"/>
        <d v="2022-05-30T00:00:00"/>
        <d v="2022-06-03T00:00:00"/>
        <d v="2022-06-10T00:00:00"/>
        <d v="2022-06-11T00:00:00"/>
        <d v="2022-06-13T00:00:00"/>
        <d v="2022-06-15T00:00:00"/>
        <d v="2022-06-16T00:00:00"/>
        <d v="2022-06-19T00:00:00"/>
        <d v="2022-06-21T00:00:00"/>
        <d v="2022-06-22T00:00:00"/>
        <d v="2022-06-23T00:00:00"/>
        <d v="2022-06-24T00:00:00"/>
        <d v="2022-06-25T00:00:00"/>
        <d v="2022-06-26T00:00:00"/>
        <d v="2022-07-03T00:00:00"/>
        <d v="2022-07-04T00:00:00"/>
        <d v="2022-07-05T00:00:00"/>
        <d v="2022-07-06T00:00:00"/>
        <d v="2022-07-08T00:00:00"/>
        <d v="2022-07-10T00:00:00"/>
        <d v="2022-07-12T00:00:00"/>
        <d v="2022-07-13T00:00:00"/>
        <d v="2022-07-14T00:00:00"/>
        <d v="2022-07-15T00:00:00"/>
        <d v="2022-07-17T00:00:00"/>
        <d v="2022-07-18T00:00:00"/>
        <d v="2022-07-20T00:00:00"/>
        <d v="2022-07-22T00:00:00"/>
        <d v="2022-07-23T00:00:00"/>
        <d v="2022-07-24T00:00:00"/>
        <d v="2022-07-25T00:00:00"/>
        <d v="2022-07-26T00:00:00"/>
        <d v="2022-08-03T00:00:00"/>
        <d v="2022-08-06T00:00:00"/>
        <d v="2022-08-08T00:00:00"/>
        <d v="2022-08-14T00:00:00"/>
        <d v="2022-08-15T00:00:00"/>
        <d v="2022-08-18T00:00:00"/>
        <d v="2022-08-19T00:00:00"/>
        <d v="2022-08-20T00:00:00"/>
        <d v="2022-08-21T00:00:00"/>
        <d v="2022-08-23T00:00:00"/>
        <d v="2022-08-24T00:00:00"/>
        <d v="2022-08-26T00:00:00"/>
        <d v="2022-08-27T00:00:00"/>
        <d v="2022-08-28T00:00:00"/>
        <d v="2022-08-30T00:00:00"/>
        <d v="2022-08-31T00:00:00"/>
        <d v="2022-09-04T00:00:00"/>
        <d v="2022-09-06T00:00:00"/>
        <d v="2022-09-09T00:00:00"/>
        <d v="2022-09-10T00:00:00"/>
        <d v="2022-09-14T00:00:00"/>
        <d v="2022-09-15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7T00:00:00"/>
        <d v="2022-09-29T00:00:00"/>
        <d v="2022-10-03T00:00:00"/>
        <d v="2022-10-04T00:00:00"/>
        <d v="2022-10-06T00:00:00"/>
        <d v="2022-10-09T00:00:00"/>
        <d v="2022-10-10T00:00:00"/>
        <d v="2022-10-11T00:00:00"/>
        <d v="2022-10-13T00:00:00"/>
        <d v="2022-10-14T00:00:00"/>
        <d v="2022-10-15T00:00:00"/>
        <d v="2022-10-16T00:00:00"/>
        <d v="2022-10-23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3T00:00:00"/>
        <d v="2022-11-14T00:00:00"/>
        <d v="2022-11-15T00:00:00"/>
        <d v="2022-11-16T00:00:00"/>
        <d v="2022-11-18T00:00:00"/>
        <d v="2022-11-21T00:00:00"/>
        <d v="2022-11-23T00:00:00"/>
        <d v="2022-11-25T00:00:00"/>
        <d v="2022-11-26T00:00:00"/>
        <d v="2022-11-27T00:00:00"/>
        <d v="2022-11-28T00:00:00"/>
        <d v="2022-11-30T00:00:00"/>
        <d v="2022-12-03T00:00:00"/>
        <d v="2022-12-04T00:00:00"/>
        <d v="2022-12-07T00:00:00"/>
        <d v="2022-12-11T00:00:00"/>
        <d v="2022-12-12T00:00:00"/>
        <d v="2022-12-14T00:00:00"/>
        <d v="2022-12-15T00:00:00"/>
        <d v="2022-12-19T00:00:00"/>
        <d v="2022-12-21T00:00:00"/>
        <d v="2022-12-29T00:00:00"/>
        <d v="2022-12-30T00:00:00"/>
        <d v="2022-12-31T00:00:00"/>
      </sharedItems>
      <fieldGroup par="19"/>
    </cacheField>
    <cacheField name="Année" numFmtId="0">
      <sharedItems containsSemiMixedTypes="0" containsString="0" containsNumber="1" containsInteger="1" minValue="2021" maxValue="2022" count="2">
        <n v="2021"/>
        <n v="2022"/>
      </sharedItems>
    </cacheField>
    <cacheField name="Mois num" numFmtId="0">
      <sharedItems containsSemiMixedTypes="0" containsString="0" containsNumber="1" containsInteger="1" minValue="1" maxValue="12"/>
    </cacheField>
    <cacheField name="Mois" numFmtId="0">
      <sharedItems count="12">
        <s v="Janvier"/>
        <s v="Février"/>
        <s v="Mars"/>
        <s v="Avril"/>
        <s v="Mai"/>
        <s v="Juin"/>
        <s v="Juillet"/>
        <s v="Août"/>
        <s v="Septembre"/>
        <s v="Octobre"/>
        <s v="Novembre"/>
        <s v="Décembre"/>
      </sharedItems>
    </cacheField>
    <cacheField name="PRODUCT ID" numFmtId="0">
      <sharedItems count="44">
        <s v="P0024"/>
        <s v="P0001"/>
        <s v="P0038"/>
        <s v="P0013"/>
        <s v="P0003"/>
        <s v="P0004"/>
        <s v="P0035"/>
        <s v="P0005"/>
        <s v="P0031"/>
        <s v="P0006"/>
        <s v="P0025"/>
        <s v="P0008"/>
        <s v="P0037"/>
        <s v="P0014"/>
        <s v="P0010"/>
        <s v="P0042"/>
        <s v="P0044"/>
        <s v="P0023"/>
        <s v="P0015"/>
        <s v="P0034"/>
        <s v="P0016"/>
        <s v="P0020"/>
        <s v="P0022"/>
        <s v="P0040"/>
        <s v="P0027"/>
        <s v="P0032"/>
        <s v="P0029"/>
        <s v="P0030"/>
        <s v="P0043"/>
        <s v="P0002"/>
        <s v="P0018"/>
        <s v="P0011"/>
        <s v="P0021"/>
        <s v="P0028"/>
        <s v="P0039"/>
        <s v="P0012"/>
        <s v="P0007"/>
        <s v="P0009"/>
        <s v="P0033"/>
        <s v="P0017"/>
        <s v="P0019"/>
        <s v="P0041"/>
        <s v="P0026"/>
        <s v="P0036"/>
      </sharedItems>
    </cacheField>
    <cacheField name="QUANTITY" numFmtId="0">
      <sharedItems containsSemiMixedTypes="0" containsString="0" containsNumber="1" containsInteger="1" minValue="1" maxValue="15"/>
    </cacheField>
    <cacheField name="SALE TYPE" numFmtId="0">
      <sharedItems count="3">
        <s v="Wholesaler"/>
        <s v="Online"/>
        <s v="Direct Sales"/>
      </sharedItems>
    </cacheField>
    <cacheField name="PAYMENT MODE" numFmtId="0">
      <sharedItems count="2">
        <s v="Online"/>
        <s v="Cash"/>
      </sharedItems>
    </cacheField>
    <cacheField name="DISCOUNT %" numFmtId="0">
      <sharedItems containsSemiMixedTypes="0" containsString="0" containsNumber="1" containsInteger="1" minValue="0" maxValue="90"/>
    </cacheField>
    <cacheField name="BD_2.PRODUCT" numFmtId="0">
      <sharedItems count="44">
        <s v="Product24"/>
        <s v="Product01"/>
        <s v="Product38"/>
        <s v="Product13"/>
        <s v="Product03"/>
        <s v="Product04"/>
        <s v="Product35"/>
        <s v="Product05"/>
        <s v="Product31"/>
        <s v="Product06"/>
        <s v="Product25"/>
        <s v="Product08"/>
        <s v="Product37"/>
        <s v="Product14"/>
        <s v="Product10"/>
        <s v="Product42"/>
        <s v="Product44"/>
        <s v="Product23"/>
        <s v="Product15"/>
        <s v="Product34"/>
        <s v="Product16"/>
        <s v="Product20"/>
        <s v="Product22"/>
        <s v="Product40"/>
        <s v="Product27"/>
        <s v="Product32"/>
        <s v="Product29"/>
        <s v="Product30"/>
        <s v="Product43"/>
        <s v="Product02"/>
        <s v="Product18"/>
        <s v="Product11"/>
        <s v="Product21"/>
        <s v="Product28"/>
        <s v="Product39"/>
        <s v="Product12"/>
        <s v="Product07"/>
        <s v="Product09"/>
        <s v="Product33"/>
        <s v="Product17"/>
        <s v="Product19"/>
        <s v="Product41"/>
        <s v="Product26"/>
        <s v="Product36"/>
      </sharedItems>
    </cacheField>
    <cacheField name="BD_2.CATEGORY" numFmtId="0">
      <sharedItems count="5">
        <s v="Category03"/>
        <s v="Category01"/>
        <s v="Category05"/>
        <s v="Category02"/>
        <s v="Category04"/>
      </sharedItems>
    </cacheField>
    <cacheField name="BD_2.MESURE" numFmtId="0">
      <sharedItems count="4">
        <s v="Ft"/>
        <s v="Kg"/>
        <s v="Lt"/>
        <s v="No."/>
      </sharedItems>
    </cacheField>
    <cacheField name="BD_2.BUYING PRIZE" numFmtId="0">
      <sharedItems containsSemiMixedTypes="0" containsString="0" containsNumber="1" containsInteger="1" minValue="5" maxValue="150"/>
    </cacheField>
    <cacheField name="BD_2.SELLING PRICE" numFmtId="0">
      <sharedItems containsSemiMixedTypes="0" containsString="0" containsNumber="1" minValue="6.7" maxValue="210"/>
    </cacheField>
    <cacheField name="Montant Vendu" numFmtId="0">
      <sharedItems containsSemiMixedTypes="0" containsString="0" containsNumber="1" minValue="6.7" maxValue="3150"/>
    </cacheField>
    <cacheField name="Montant Acheté" numFmtId="0">
      <sharedItems containsSemiMixedTypes="0" containsString="0" containsNumber="1" containsInteger="1" minValue="5" maxValue="2250"/>
    </cacheField>
    <cacheField name="Benefice" numFmtId="0">
      <sharedItems containsSemiMixedTypes="0" containsString="0" containsNumber="1" minValue="1.7000000000000002" maxValue="900"/>
    </cacheField>
    <cacheField name="Mois (DATE)" numFmtId="0" databaseField="0">
      <fieldGroup base="0">
        <rangePr groupBy="months" startDate="2021-01-01T00:00:00" endDate="2023-01-01T00:00:00"/>
        <groupItems count="14">
          <s v="&lt;01/01/2021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3"/>
        </groupItems>
      </fieldGroup>
    </cacheField>
    <cacheField name="Trimestres (DATE)" numFmtId="0" databaseField="0">
      <fieldGroup base="0">
        <rangePr groupBy="quarters" startDate="2021-01-01T00:00:00" endDate="2023-01-01T00:00:00"/>
        <groupItems count="6">
          <s v="&lt;01/01/2021"/>
          <s v="Trimestre1"/>
          <s v="Trimestre2"/>
          <s v="Trimestre3"/>
          <s v="Trimestre4"/>
          <s v="&gt;01/01/2023"/>
        </groupItems>
      </fieldGroup>
    </cacheField>
    <cacheField name="Années (DATE)" numFmtId="0" databaseField="0">
      <fieldGroup base="0">
        <rangePr groupBy="years" startDate="2021-01-01T00:00:00" endDate="2023-01-01T00:00:00"/>
        <groupItems count="5">
          <s v="&lt;01/01/2021"/>
          <s v="2021"/>
          <s v="2022"/>
          <s v="2023"/>
          <s v="&gt;01/01/2023"/>
        </groupItems>
      </fieldGroup>
    </cacheField>
  </cacheFields>
  <extLst>
    <ext xmlns:x14="http://schemas.microsoft.com/office/spreadsheetml/2009/9/main" uri="{725AE2AE-9491-48be-B2B4-4EB974FC3084}">
      <x14:pivotCacheDefinition pivotCacheId="8984636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7">
  <r>
    <x v="0"/>
    <x v="0"/>
    <n v="1"/>
    <x v="0"/>
    <x v="0"/>
    <n v="9"/>
    <x v="0"/>
    <x v="0"/>
    <n v="48"/>
    <x v="0"/>
    <x v="0"/>
    <x v="0"/>
    <n v="144"/>
    <n v="156.96"/>
    <n v="1412.64"/>
    <n v="1296"/>
    <n v="116.6400000000001"/>
  </r>
  <r>
    <x v="1"/>
    <x v="0"/>
    <n v="1"/>
    <x v="0"/>
    <x v="1"/>
    <n v="7"/>
    <x v="1"/>
    <x v="0"/>
    <n v="52"/>
    <x v="1"/>
    <x v="1"/>
    <x v="1"/>
    <n v="98"/>
    <n v="103.88"/>
    <n v="727.16"/>
    <n v="686"/>
    <n v="41.159999999999968"/>
  </r>
  <r>
    <x v="2"/>
    <x v="0"/>
    <n v="1"/>
    <x v="0"/>
    <x v="2"/>
    <n v="15"/>
    <x v="1"/>
    <x v="1"/>
    <n v="90"/>
    <x v="2"/>
    <x v="2"/>
    <x v="1"/>
    <n v="72"/>
    <n v="79.92"/>
    <n v="1198.8"/>
    <n v="1080"/>
    <n v="118.79999999999995"/>
  </r>
  <r>
    <x v="2"/>
    <x v="0"/>
    <n v="1"/>
    <x v="0"/>
    <x v="3"/>
    <n v="6"/>
    <x v="2"/>
    <x v="1"/>
    <n v="38"/>
    <x v="3"/>
    <x v="3"/>
    <x v="1"/>
    <n v="112"/>
    <n v="122.08"/>
    <n v="732.48"/>
    <n v="672"/>
    <n v="60.480000000000018"/>
  </r>
  <r>
    <x v="3"/>
    <x v="0"/>
    <n v="2"/>
    <x v="1"/>
    <x v="3"/>
    <n v="5"/>
    <x v="1"/>
    <x v="1"/>
    <n v="51"/>
    <x v="3"/>
    <x v="3"/>
    <x v="1"/>
    <n v="112"/>
    <n v="122.08"/>
    <n v="610.4"/>
    <n v="560"/>
    <n v="50.399999999999977"/>
  </r>
  <r>
    <x v="4"/>
    <x v="0"/>
    <n v="1"/>
    <x v="0"/>
    <x v="4"/>
    <n v="8"/>
    <x v="2"/>
    <x v="1"/>
    <n v="59"/>
    <x v="4"/>
    <x v="1"/>
    <x v="1"/>
    <n v="71"/>
    <n v="80.94"/>
    <n v="647.52"/>
    <n v="568"/>
    <n v="79.519999999999982"/>
  </r>
  <r>
    <x v="5"/>
    <x v="0"/>
    <n v="1"/>
    <x v="0"/>
    <x v="4"/>
    <n v="9"/>
    <x v="2"/>
    <x v="0"/>
    <n v="45"/>
    <x v="4"/>
    <x v="1"/>
    <x v="1"/>
    <n v="71"/>
    <n v="80.94"/>
    <n v="728.46"/>
    <n v="639"/>
    <n v="89.460000000000036"/>
  </r>
  <r>
    <x v="6"/>
    <x v="0"/>
    <n v="1"/>
    <x v="0"/>
    <x v="5"/>
    <n v="5"/>
    <x v="2"/>
    <x v="0"/>
    <n v="81"/>
    <x v="5"/>
    <x v="1"/>
    <x v="2"/>
    <n v="44"/>
    <n v="48.84"/>
    <n v="244.20000000000002"/>
    <n v="220"/>
    <n v="24.200000000000017"/>
  </r>
  <r>
    <x v="5"/>
    <x v="0"/>
    <n v="1"/>
    <x v="0"/>
    <x v="5"/>
    <n v="15"/>
    <x v="0"/>
    <x v="1"/>
    <n v="33"/>
    <x v="5"/>
    <x v="1"/>
    <x v="2"/>
    <n v="44"/>
    <n v="48.84"/>
    <n v="732.6"/>
    <n v="660"/>
    <n v="72.600000000000023"/>
  </r>
  <r>
    <x v="7"/>
    <x v="0"/>
    <n v="1"/>
    <x v="0"/>
    <x v="5"/>
    <n v="10"/>
    <x v="1"/>
    <x v="1"/>
    <n v="50"/>
    <x v="5"/>
    <x v="1"/>
    <x v="2"/>
    <n v="44"/>
    <n v="48.84"/>
    <n v="488.40000000000003"/>
    <n v="440"/>
    <n v="48.400000000000034"/>
  </r>
  <r>
    <x v="8"/>
    <x v="0"/>
    <n v="1"/>
    <x v="0"/>
    <x v="6"/>
    <n v="12"/>
    <x v="1"/>
    <x v="0"/>
    <n v="30"/>
    <x v="6"/>
    <x v="4"/>
    <x v="3"/>
    <n v="5"/>
    <n v="6.7"/>
    <n v="80.400000000000006"/>
    <n v="60"/>
    <n v="20.400000000000006"/>
  </r>
  <r>
    <x v="9"/>
    <x v="0"/>
    <n v="1"/>
    <x v="0"/>
    <x v="6"/>
    <n v="6"/>
    <x v="2"/>
    <x v="1"/>
    <n v="49"/>
    <x v="6"/>
    <x v="4"/>
    <x v="3"/>
    <n v="5"/>
    <n v="6.7"/>
    <n v="40.200000000000003"/>
    <n v="30"/>
    <n v="10.200000000000003"/>
  </r>
  <r>
    <x v="10"/>
    <x v="0"/>
    <n v="1"/>
    <x v="0"/>
    <x v="6"/>
    <n v="7"/>
    <x v="2"/>
    <x v="0"/>
    <n v="16"/>
    <x v="6"/>
    <x v="4"/>
    <x v="3"/>
    <n v="5"/>
    <n v="6.7"/>
    <n v="46.9"/>
    <n v="35"/>
    <n v="11.899999999999999"/>
  </r>
  <r>
    <x v="11"/>
    <x v="0"/>
    <n v="2"/>
    <x v="1"/>
    <x v="6"/>
    <n v="1"/>
    <x v="2"/>
    <x v="1"/>
    <n v="17"/>
    <x v="6"/>
    <x v="4"/>
    <x v="3"/>
    <n v="5"/>
    <n v="6.7"/>
    <n v="6.7"/>
    <n v="5"/>
    <n v="1.7000000000000002"/>
  </r>
  <r>
    <x v="12"/>
    <x v="0"/>
    <n v="2"/>
    <x v="1"/>
    <x v="7"/>
    <n v="1"/>
    <x v="2"/>
    <x v="1"/>
    <n v="7"/>
    <x v="7"/>
    <x v="1"/>
    <x v="0"/>
    <n v="133"/>
    <n v="155.61000000000001"/>
    <n v="155.61000000000001"/>
    <n v="133"/>
    <n v="22.610000000000014"/>
  </r>
  <r>
    <x v="4"/>
    <x v="0"/>
    <n v="1"/>
    <x v="0"/>
    <x v="8"/>
    <n v="1"/>
    <x v="2"/>
    <x v="1"/>
    <n v="46"/>
    <x v="8"/>
    <x v="4"/>
    <x v="1"/>
    <n v="93"/>
    <n v="104.16"/>
    <n v="104.16"/>
    <n v="93"/>
    <n v="11.159999999999997"/>
  </r>
  <r>
    <x v="10"/>
    <x v="0"/>
    <n v="1"/>
    <x v="0"/>
    <x v="8"/>
    <n v="14"/>
    <x v="2"/>
    <x v="0"/>
    <n v="88"/>
    <x v="8"/>
    <x v="4"/>
    <x v="1"/>
    <n v="93"/>
    <n v="104.16"/>
    <n v="1458.24"/>
    <n v="1302"/>
    <n v="156.24"/>
  </r>
  <r>
    <x v="1"/>
    <x v="0"/>
    <n v="1"/>
    <x v="0"/>
    <x v="9"/>
    <n v="7"/>
    <x v="1"/>
    <x v="1"/>
    <n v="24"/>
    <x v="9"/>
    <x v="1"/>
    <x v="1"/>
    <n v="75"/>
    <n v="85.5"/>
    <n v="598.5"/>
    <n v="525"/>
    <n v="73.5"/>
  </r>
  <r>
    <x v="4"/>
    <x v="0"/>
    <n v="1"/>
    <x v="0"/>
    <x v="10"/>
    <n v="4"/>
    <x v="2"/>
    <x v="0"/>
    <n v="24"/>
    <x v="10"/>
    <x v="0"/>
    <x v="3"/>
    <n v="7"/>
    <n v="8.33"/>
    <n v="33.32"/>
    <n v="28"/>
    <n v="5.32"/>
  </r>
  <r>
    <x v="13"/>
    <x v="0"/>
    <n v="2"/>
    <x v="1"/>
    <x v="10"/>
    <n v="3"/>
    <x v="2"/>
    <x v="1"/>
    <n v="54"/>
    <x v="10"/>
    <x v="0"/>
    <x v="3"/>
    <n v="7"/>
    <n v="8.33"/>
    <n v="24.990000000000002"/>
    <n v="21"/>
    <n v="3.990000000000002"/>
  </r>
  <r>
    <x v="14"/>
    <x v="0"/>
    <n v="2"/>
    <x v="1"/>
    <x v="11"/>
    <n v="7"/>
    <x v="2"/>
    <x v="1"/>
    <n v="77"/>
    <x v="11"/>
    <x v="1"/>
    <x v="1"/>
    <n v="83"/>
    <n v="94.62"/>
    <n v="662.34"/>
    <n v="581"/>
    <n v="81.340000000000032"/>
  </r>
  <r>
    <x v="15"/>
    <x v="0"/>
    <n v="1"/>
    <x v="0"/>
    <x v="12"/>
    <n v="3"/>
    <x v="2"/>
    <x v="1"/>
    <n v="57"/>
    <x v="12"/>
    <x v="2"/>
    <x v="1"/>
    <n v="67"/>
    <n v="85.76"/>
    <n v="257.28000000000003"/>
    <n v="201"/>
    <n v="56.28000000000003"/>
  </r>
  <r>
    <x v="16"/>
    <x v="0"/>
    <n v="2"/>
    <x v="1"/>
    <x v="12"/>
    <n v="4"/>
    <x v="1"/>
    <x v="0"/>
    <n v="46"/>
    <x v="12"/>
    <x v="2"/>
    <x v="1"/>
    <n v="67"/>
    <n v="85.76"/>
    <n v="343.04"/>
    <n v="268"/>
    <n v="75.04000000000002"/>
  </r>
  <r>
    <x v="15"/>
    <x v="0"/>
    <n v="1"/>
    <x v="0"/>
    <x v="13"/>
    <n v="4"/>
    <x v="0"/>
    <x v="0"/>
    <n v="60"/>
    <x v="13"/>
    <x v="3"/>
    <x v="1"/>
    <n v="112"/>
    <n v="146.72"/>
    <n v="586.88"/>
    <n v="448"/>
    <n v="138.88"/>
  </r>
  <r>
    <x v="17"/>
    <x v="0"/>
    <n v="2"/>
    <x v="1"/>
    <x v="14"/>
    <n v="7"/>
    <x v="1"/>
    <x v="0"/>
    <n v="61"/>
    <x v="14"/>
    <x v="3"/>
    <x v="0"/>
    <n v="148"/>
    <n v="164.28"/>
    <n v="1149.96"/>
    <n v="1036"/>
    <n v="113.96000000000004"/>
  </r>
  <r>
    <x v="15"/>
    <x v="0"/>
    <n v="1"/>
    <x v="0"/>
    <x v="15"/>
    <n v="4"/>
    <x v="2"/>
    <x v="0"/>
    <n v="30"/>
    <x v="15"/>
    <x v="2"/>
    <x v="0"/>
    <n v="120"/>
    <n v="162"/>
    <n v="648"/>
    <n v="480"/>
    <n v="168"/>
  </r>
  <r>
    <x v="18"/>
    <x v="0"/>
    <n v="1"/>
    <x v="0"/>
    <x v="15"/>
    <n v="10"/>
    <x v="1"/>
    <x v="1"/>
    <n v="79"/>
    <x v="15"/>
    <x v="2"/>
    <x v="0"/>
    <n v="120"/>
    <n v="162"/>
    <n v="1620"/>
    <n v="1200"/>
    <n v="420"/>
  </r>
  <r>
    <x v="5"/>
    <x v="0"/>
    <n v="1"/>
    <x v="0"/>
    <x v="15"/>
    <n v="6"/>
    <x v="2"/>
    <x v="0"/>
    <n v="31"/>
    <x v="15"/>
    <x v="2"/>
    <x v="0"/>
    <n v="120"/>
    <n v="162"/>
    <n v="972"/>
    <n v="720"/>
    <n v="252"/>
  </r>
  <r>
    <x v="19"/>
    <x v="0"/>
    <n v="1"/>
    <x v="0"/>
    <x v="16"/>
    <n v="13"/>
    <x v="2"/>
    <x v="0"/>
    <n v="17"/>
    <x v="16"/>
    <x v="2"/>
    <x v="1"/>
    <n v="76"/>
    <n v="82.08"/>
    <n v="1067.04"/>
    <n v="988"/>
    <n v="79.039999999999964"/>
  </r>
  <r>
    <x v="1"/>
    <x v="0"/>
    <n v="1"/>
    <x v="0"/>
    <x v="16"/>
    <n v="9"/>
    <x v="0"/>
    <x v="1"/>
    <n v="36"/>
    <x v="16"/>
    <x v="2"/>
    <x v="1"/>
    <n v="76"/>
    <n v="82.08"/>
    <n v="738.72"/>
    <n v="684"/>
    <n v="54.720000000000027"/>
  </r>
  <r>
    <x v="19"/>
    <x v="0"/>
    <n v="1"/>
    <x v="0"/>
    <x v="17"/>
    <n v="3"/>
    <x v="1"/>
    <x v="1"/>
    <n v="12"/>
    <x v="17"/>
    <x v="0"/>
    <x v="0"/>
    <n v="141"/>
    <n v="149.46"/>
    <n v="448.38"/>
    <n v="423"/>
    <n v="25.379999999999995"/>
  </r>
  <r>
    <x v="14"/>
    <x v="0"/>
    <n v="2"/>
    <x v="1"/>
    <x v="17"/>
    <n v="9"/>
    <x v="1"/>
    <x v="1"/>
    <n v="87"/>
    <x v="17"/>
    <x v="0"/>
    <x v="0"/>
    <n v="141"/>
    <n v="149.46"/>
    <n v="1345.14"/>
    <n v="1269"/>
    <n v="76.1400000000001"/>
  </r>
  <r>
    <x v="20"/>
    <x v="0"/>
    <n v="2"/>
    <x v="1"/>
    <x v="18"/>
    <n v="6"/>
    <x v="1"/>
    <x v="1"/>
    <n v="35"/>
    <x v="18"/>
    <x v="3"/>
    <x v="3"/>
    <n v="12"/>
    <n v="15.719999999999999"/>
    <n v="94.32"/>
    <n v="72"/>
    <n v="22.319999999999993"/>
  </r>
  <r>
    <x v="21"/>
    <x v="0"/>
    <n v="1"/>
    <x v="0"/>
    <x v="19"/>
    <n v="4"/>
    <x v="2"/>
    <x v="1"/>
    <n v="41"/>
    <x v="19"/>
    <x v="4"/>
    <x v="2"/>
    <n v="55"/>
    <n v="58.3"/>
    <n v="233.2"/>
    <n v="220"/>
    <n v="13.199999999999989"/>
  </r>
  <r>
    <x v="10"/>
    <x v="0"/>
    <n v="1"/>
    <x v="0"/>
    <x v="19"/>
    <n v="6"/>
    <x v="2"/>
    <x v="1"/>
    <n v="45"/>
    <x v="19"/>
    <x v="4"/>
    <x v="2"/>
    <n v="55"/>
    <n v="58.3"/>
    <n v="349.79999999999995"/>
    <n v="330"/>
    <n v="19.799999999999955"/>
  </r>
  <r>
    <x v="22"/>
    <x v="0"/>
    <n v="2"/>
    <x v="1"/>
    <x v="19"/>
    <n v="14"/>
    <x v="2"/>
    <x v="0"/>
    <n v="9"/>
    <x v="19"/>
    <x v="4"/>
    <x v="2"/>
    <n v="55"/>
    <n v="58.3"/>
    <n v="816.19999999999993"/>
    <n v="770"/>
    <n v="46.199999999999932"/>
  </r>
  <r>
    <x v="23"/>
    <x v="0"/>
    <n v="2"/>
    <x v="1"/>
    <x v="20"/>
    <n v="13"/>
    <x v="2"/>
    <x v="0"/>
    <n v="50"/>
    <x v="20"/>
    <x v="3"/>
    <x v="3"/>
    <n v="13"/>
    <n v="16.64"/>
    <n v="216.32"/>
    <n v="169"/>
    <n v="47.319999999999993"/>
  </r>
  <r>
    <x v="21"/>
    <x v="0"/>
    <n v="1"/>
    <x v="0"/>
    <x v="21"/>
    <n v="4"/>
    <x v="2"/>
    <x v="1"/>
    <n v="86"/>
    <x v="21"/>
    <x v="0"/>
    <x v="2"/>
    <n v="61"/>
    <n v="76.25"/>
    <n v="305"/>
    <n v="244"/>
    <n v="61"/>
  </r>
  <r>
    <x v="23"/>
    <x v="0"/>
    <n v="2"/>
    <x v="1"/>
    <x v="22"/>
    <n v="2"/>
    <x v="0"/>
    <x v="1"/>
    <n v="37"/>
    <x v="22"/>
    <x v="0"/>
    <x v="0"/>
    <n v="121"/>
    <n v="141.57"/>
    <n v="283.14"/>
    <n v="242"/>
    <n v="41.139999999999986"/>
  </r>
  <r>
    <x v="24"/>
    <x v="0"/>
    <n v="1"/>
    <x v="0"/>
    <x v="23"/>
    <n v="7"/>
    <x v="0"/>
    <x v="0"/>
    <n v="48"/>
    <x v="23"/>
    <x v="2"/>
    <x v="1"/>
    <n v="90"/>
    <n v="115.2"/>
    <n v="806.4"/>
    <n v="630"/>
    <n v="176.39999999999998"/>
  </r>
  <r>
    <x v="25"/>
    <x v="0"/>
    <n v="2"/>
    <x v="1"/>
    <x v="24"/>
    <n v="4"/>
    <x v="2"/>
    <x v="0"/>
    <n v="76"/>
    <x v="24"/>
    <x v="4"/>
    <x v="2"/>
    <n v="48"/>
    <n v="57.120000000000005"/>
    <n v="228.48000000000002"/>
    <n v="192"/>
    <n v="36.480000000000018"/>
  </r>
  <r>
    <x v="24"/>
    <x v="0"/>
    <n v="1"/>
    <x v="0"/>
    <x v="25"/>
    <n v="3"/>
    <x v="0"/>
    <x v="0"/>
    <n v="39"/>
    <x v="25"/>
    <x v="4"/>
    <x v="1"/>
    <n v="89"/>
    <n v="117.48"/>
    <n v="352.44"/>
    <n v="267"/>
    <n v="85.44"/>
  </r>
  <r>
    <x v="7"/>
    <x v="0"/>
    <n v="1"/>
    <x v="0"/>
    <x v="26"/>
    <n v="2"/>
    <x v="2"/>
    <x v="1"/>
    <n v="0"/>
    <x v="26"/>
    <x v="4"/>
    <x v="2"/>
    <n v="47"/>
    <n v="53.11"/>
    <n v="106.22"/>
    <n v="94"/>
    <n v="12.219999999999999"/>
  </r>
  <r>
    <x v="26"/>
    <x v="0"/>
    <n v="2"/>
    <x v="1"/>
    <x v="27"/>
    <n v="11"/>
    <x v="1"/>
    <x v="1"/>
    <n v="4"/>
    <x v="27"/>
    <x v="4"/>
    <x v="0"/>
    <n v="148"/>
    <n v="201.28"/>
    <n v="2214.08"/>
    <n v="1628"/>
    <n v="586.07999999999993"/>
  </r>
  <r>
    <x v="12"/>
    <x v="0"/>
    <n v="2"/>
    <x v="1"/>
    <x v="28"/>
    <n v="7"/>
    <x v="1"/>
    <x v="1"/>
    <n v="31"/>
    <x v="28"/>
    <x v="2"/>
    <x v="1"/>
    <n v="67"/>
    <n v="83.08"/>
    <n v="581.55999999999995"/>
    <n v="469"/>
    <n v="112.55999999999995"/>
  </r>
  <r>
    <x v="12"/>
    <x v="0"/>
    <n v="2"/>
    <x v="1"/>
    <x v="28"/>
    <n v="9"/>
    <x v="2"/>
    <x v="1"/>
    <n v="41"/>
    <x v="28"/>
    <x v="2"/>
    <x v="1"/>
    <n v="67"/>
    <n v="83.08"/>
    <n v="747.72"/>
    <n v="603"/>
    <n v="144.72000000000003"/>
  </r>
  <r>
    <x v="13"/>
    <x v="0"/>
    <n v="2"/>
    <x v="1"/>
    <x v="7"/>
    <n v="2"/>
    <x v="2"/>
    <x v="0"/>
    <n v="9"/>
    <x v="7"/>
    <x v="1"/>
    <x v="0"/>
    <n v="133"/>
    <n v="155.61000000000001"/>
    <n v="311.22000000000003"/>
    <n v="266"/>
    <n v="45.220000000000027"/>
  </r>
  <r>
    <x v="27"/>
    <x v="0"/>
    <n v="2"/>
    <x v="1"/>
    <x v="29"/>
    <n v="4"/>
    <x v="0"/>
    <x v="0"/>
    <n v="44"/>
    <x v="29"/>
    <x v="1"/>
    <x v="1"/>
    <n v="105"/>
    <n v="142.80000000000001"/>
    <n v="571.20000000000005"/>
    <n v="420"/>
    <n v="151.20000000000005"/>
  </r>
  <r>
    <x v="27"/>
    <x v="0"/>
    <n v="2"/>
    <x v="1"/>
    <x v="25"/>
    <n v="11"/>
    <x v="1"/>
    <x v="1"/>
    <n v="47"/>
    <x v="25"/>
    <x v="4"/>
    <x v="1"/>
    <n v="89"/>
    <n v="117.48"/>
    <n v="1292.28"/>
    <n v="979"/>
    <n v="313.27999999999997"/>
  </r>
  <r>
    <x v="27"/>
    <x v="0"/>
    <n v="2"/>
    <x v="1"/>
    <x v="27"/>
    <n v="2"/>
    <x v="2"/>
    <x v="0"/>
    <n v="10"/>
    <x v="27"/>
    <x v="4"/>
    <x v="0"/>
    <n v="148"/>
    <n v="201.28"/>
    <n v="402.56"/>
    <n v="296"/>
    <n v="106.56"/>
  </r>
  <r>
    <x v="28"/>
    <x v="0"/>
    <n v="2"/>
    <x v="1"/>
    <x v="30"/>
    <n v="11"/>
    <x v="0"/>
    <x v="0"/>
    <n v="60"/>
    <x v="30"/>
    <x v="3"/>
    <x v="3"/>
    <n v="37"/>
    <n v="49.21"/>
    <n v="541.31000000000006"/>
    <n v="407"/>
    <n v="134.31000000000006"/>
  </r>
  <r>
    <x v="29"/>
    <x v="0"/>
    <n v="3"/>
    <x v="2"/>
    <x v="31"/>
    <n v="1"/>
    <x v="2"/>
    <x v="0"/>
    <n v="4"/>
    <x v="31"/>
    <x v="3"/>
    <x v="2"/>
    <n v="44"/>
    <n v="48.4"/>
    <n v="48.4"/>
    <n v="44"/>
    <n v="4.3999999999999986"/>
  </r>
  <r>
    <x v="30"/>
    <x v="0"/>
    <n v="3"/>
    <x v="2"/>
    <x v="32"/>
    <n v="9"/>
    <x v="2"/>
    <x v="1"/>
    <n v="43"/>
    <x v="32"/>
    <x v="0"/>
    <x v="0"/>
    <n v="126"/>
    <n v="162.54"/>
    <n v="1462.86"/>
    <n v="1134"/>
    <n v="328.8599999999999"/>
  </r>
  <r>
    <x v="31"/>
    <x v="0"/>
    <n v="3"/>
    <x v="2"/>
    <x v="24"/>
    <n v="6"/>
    <x v="1"/>
    <x v="1"/>
    <n v="25"/>
    <x v="24"/>
    <x v="4"/>
    <x v="2"/>
    <n v="48"/>
    <n v="57.120000000000005"/>
    <n v="342.72"/>
    <n v="288"/>
    <n v="54.720000000000027"/>
  </r>
  <r>
    <x v="31"/>
    <x v="0"/>
    <n v="3"/>
    <x v="2"/>
    <x v="16"/>
    <n v="9"/>
    <x v="1"/>
    <x v="0"/>
    <n v="12"/>
    <x v="16"/>
    <x v="2"/>
    <x v="1"/>
    <n v="76"/>
    <n v="82.08"/>
    <n v="738.72"/>
    <n v="684"/>
    <n v="54.720000000000027"/>
  </r>
  <r>
    <x v="32"/>
    <x v="0"/>
    <n v="3"/>
    <x v="2"/>
    <x v="26"/>
    <n v="6"/>
    <x v="0"/>
    <x v="0"/>
    <n v="6"/>
    <x v="26"/>
    <x v="4"/>
    <x v="2"/>
    <n v="47"/>
    <n v="53.11"/>
    <n v="318.65999999999997"/>
    <n v="282"/>
    <n v="36.659999999999968"/>
  </r>
  <r>
    <x v="33"/>
    <x v="0"/>
    <n v="3"/>
    <x v="2"/>
    <x v="10"/>
    <n v="11"/>
    <x v="2"/>
    <x v="1"/>
    <n v="48"/>
    <x v="10"/>
    <x v="0"/>
    <x v="3"/>
    <n v="7"/>
    <n v="8.33"/>
    <n v="91.63"/>
    <n v="77"/>
    <n v="14.629999999999995"/>
  </r>
  <r>
    <x v="34"/>
    <x v="0"/>
    <n v="3"/>
    <x v="2"/>
    <x v="33"/>
    <n v="10"/>
    <x v="0"/>
    <x v="1"/>
    <n v="37"/>
    <x v="33"/>
    <x v="4"/>
    <x v="3"/>
    <n v="37"/>
    <n v="41.81"/>
    <n v="418.1"/>
    <n v="370"/>
    <n v="48.100000000000023"/>
  </r>
  <r>
    <x v="35"/>
    <x v="0"/>
    <n v="3"/>
    <x v="2"/>
    <x v="34"/>
    <n v="11"/>
    <x v="1"/>
    <x v="1"/>
    <n v="77"/>
    <x v="34"/>
    <x v="2"/>
    <x v="3"/>
    <n v="37"/>
    <n v="42.55"/>
    <n v="468.04999999999995"/>
    <n v="407"/>
    <n v="61.049999999999955"/>
  </r>
  <r>
    <x v="36"/>
    <x v="0"/>
    <n v="3"/>
    <x v="2"/>
    <x v="35"/>
    <n v="14"/>
    <x v="2"/>
    <x v="1"/>
    <n v="32"/>
    <x v="35"/>
    <x v="3"/>
    <x v="1"/>
    <n v="73"/>
    <n v="94.17"/>
    <n v="1318.38"/>
    <n v="1022"/>
    <n v="296.38000000000011"/>
  </r>
  <r>
    <x v="37"/>
    <x v="0"/>
    <n v="3"/>
    <x v="2"/>
    <x v="15"/>
    <n v="8"/>
    <x v="0"/>
    <x v="1"/>
    <n v="63"/>
    <x v="15"/>
    <x v="2"/>
    <x v="0"/>
    <n v="120"/>
    <n v="162"/>
    <n v="1296"/>
    <n v="960"/>
    <n v="336"/>
  </r>
  <r>
    <x v="38"/>
    <x v="0"/>
    <n v="3"/>
    <x v="2"/>
    <x v="33"/>
    <n v="9"/>
    <x v="1"/>
    <x v="1"/>
    <n v="29"/>
    <x v="33"/>
    <x v="4"/>
    <x v="3"/>
    <n v="37"/>
    <n v="41.81"/>
    <n v="376.29"/>
    <n v="333"/>
    <n v="43.29000000000002"/>
  </r>
  <r>
    <x v="39"/>
    <x v="0"/>
    <n v="3"/>
    <x v="2"/>
    <x v="21"/>
    <n v="13"/>
    <x v="1"/>
    <x v="0"/>
    <n v="38"/>
    <x v="21"/>
    <x v="0"/>
    <x v="2"/>
    <n v="61"/>
    <n v="76.25"/>
    <n v="991.25"/>
    <n v="793"/>
    <n v="198.25"/>
  </r>
  <r>
    <x v="39"/>
    <x v="0"/>
    <n v="3"/>
    <x v="2"/>
    <x v="34"/>
    <n v="7"/>
    <x v="2"/>
    <x v="0"/>
    <n v="33"/>
    <x v="34"/>
    <x v="2"/>
    <x v="3"/>
    <n v="37"/>
    <n v="42.55"/>
    <n v="297.84999999999997"/>
    <n v="259"/>
    <n v="38.849999999999966"/>
  </r>
  <r>
    <x v="40"/>
    <x v="0"/>
    <n v="3"/>
    <x v="2"/>
    <x v="29"/>
    <n v="8"/>
    <x v="1"/>
    <x v="0"/>
    <n v="24"/>
    <x v="29"/>
    <x v="1"/>
    <x v="1"/>
    <n v="105"/>
    <n v="142.80000000000001"/>
    <n v="1142.4000000000001"/>
    <n v="840"/>
    <n v="302.40000000000009"/>
  </r>
  <r>
    <x v="40"/>
    <x v="0"/>
    <n v="3"/>
    <x v="2"/>
    <x v="35"/>
    <n v="4"/>
    <x v="1"/>
    <x v="0"/>
    <n v="6"/>
    <x v="35"/>
    <x v="3"/>
    <x v="1"/>
    <n v="73"/>
    <n v="94.17"/>
    <n v="376.68"/>
    <n v="292"/>
    <n v="84.68"/>
  </r>
  <r>
    <x v="41"/>
    <x v="0"/>
    <n v="3"/>
    <x v="2"/>
    <x v="0"/>
    <n v="14"/>
    <x v="1"/>
    <x v="1"/>
    <n v="33"/>
    <x v="0"/>
    <x v="0"/>
    <x v="0"/>
    <n v="144"/>
    <n v="156.96"/>
    <n v="2197.44"/>
    <n v="2016"/>
    <n v="181.44000000000005"/>
  </r>
  <r>
    <x v="41"/>
    <x v="0"/>
    <n v="3"/>
    <x v="2"/>
    <x v="9"/>
    <n v="4"/>
    <x v="2"/>
    <x v="1"/>
    <n v="29"/>
    <x v="9"/>
    <x v="1"/>
    <x v="1"/>
    <n v="75"/>
    <n v="85.5"/>
    <n v="342"/>
    <n v="300"/>
    <n v="42"/>
  </r>
  <r>
    <x v="41"/>
    <x v="0"/>
    <n v="3"/>
    <x v="2"/>
    <x v="26"/>
    <n v="8"/>
    <x v="2"/>
    <x v="1"/>
    <n v="37"/>
    <x v="26"/>
    <x v="4"/>
    <x v="2"/>
    <n v="47"/>
    <n v="53.11"/>
    <n v="424.88"/>
    <n v="376"/>
    <n v="48.879999999999995"/>
  </r>
  <r>
    <x v="41"/>
    <x v="0"/>
    <n v="3"/>
    <x v="2"/>
    <x v="2"/>
    <n v="2"/>
    <x v="2"/>
    <x v="0"/>
    <n v="74"/>
    <x v="2"/>
    <x v="2"/>
    <x v="1"/>
    <n v="72"/>
    <n v="79.92"/>
    <n v="159.84"/>
    <n v="144"/>
    <n v="15.840000000000003"/>
  </r>
  <r>
    <x v="42"/>
    <x v="0"/>
    <n v="3"/>
    <x v="2"/>
    <x v="1"/>
    <n v="4"/>
    <x v="2"/>
    <x v="1"/>
    <n v="9"/>
    <x v="1"/>
    <x v="1"/>
    <x v="1"/>
    <n v="98"/>
    <n v="103.88"/>
    <n v="415.52"/>
    <n v="392"/>
    <n v="23.519999999999982"/>
  </r>
  <r>
    <x v="42"/>
    <x v="0"/>
    <n v="3"/>
    <x v="2"/>
    <x v="15"/>
    <n v="1"/>
    <x v="2"/>
    <x v="1"/>
    <n v="81"/>
    <x v="15"/>
    <x v="2"/>
    <x v="0"/>
    <n v="120"/>
    <n v="162"/>
    <n v="162"/>
    <n v="120"/>
    <n v="42"/>
  </r>
  <r>
    <x v="42"/>
    <x v="0"/>
    <n v="3"/>
    <x v="2"/>
    <x v="14"/>
    <n v="9"/>
    <x v="2"/>
    <x v="0"/>
    <n v="42"/>
    <x v="14"/>
    <x v="3"/>
    <x v="0"/>
    <n v="148"/>
    <n v="164.28"/>
    <n v="1478.52"/>
    <n v="1332"/>
    <n v="146.51999999999998"/>
  </r>
  <r>
    <x v="43"/>
    <x v="0"/>
    <n v="3"/>
    <x v="2"/>
    <x v="27"/>
    <n v="3"/>
    <x v="2"/>
    <x v="0"/>
    <n v="82"/>
    <x v="27"/>
    <x v="4"/>
    <x v="0"/>
    <n v="148"/>
    <n v="201.28"/>
    <n v="603.84"/>
    <n v="444"/>
    <n v="159.84000000000003"/>
  </r>
  <r>
    <x v="44"/>
    <x v="0"/>
    <n v="3"/>
    <x v="2"/>
    <x v="36"/>
    <n v="8"/>
    <x v="1"/>
    <x v="1"/>
    <n v="79"/>
    <x v="36"/>
    <x v="1"/>
    <x v="2"/>
    <n v="43"/>
    <n v="47.730000000000004"/>
    <n v="381.84000000000003"/>
    <n v="344"/>
    <n v="37.840000000000032"/>
  </r>
  <r>
    <x v="45"/>
    <x v="0"/>
    <n v="3"/>
    <x v="2"/>
    <x v="2"/>
    <n v="1"/>
    <x v="1"/>
    <x v="1"/>
    <n v="55"/>
    <x v="2"/>
    <x v="2"/>
    <x v="1"/>
    <n v="72"/>
    <n v="79.92"/>
    <n v="79.92"/>
    <n v="72"/>
    <n v="7.9200000000000017"/>
  </r>
  <r>
    <x v="46"/>
    <x v="0"/>
    <n v="3"/>
    <x v="2"/>
    <x v="15"/>
    <n v="3"/>
    <x v="2"/>
    <x v="1"/>
    <n v="62"/>
    <x v="15"/>
    <x v="2"/>
    <x v="0"/>
    <n v="120"/>
    <n v="162"/>
    <n v="486"/>
    <n v="360"/>
    <n v="126"/>
  </r>
  <r>
    <x v="47"/>
    <x v="0"/>
    <n v="4"/>
    <x v="3"/>
    <x v="23"/>
    <n v="4"/>
    <x v="2"/>
    <x v="1"/>
    <n v="34"/>
    <x v="23"/>
    <x v="2"/>
    <x v="1"/>
    <n v="90"/>
    <n v="115.2"/>
    <n v="460.8"/>
    <n v="360"/>
    <n v="100.80000000000001"/>
  </r>
  <r>
    <x v="47"/>
    <x v="0"/>
    <n v="4"/>
    <x v="3"/>
    <x v="37"/>
    <n v="9"/>
    <x v="1"/>
    <x v="1"/>
    <n v="31"/>
    <x v="37"/>
    <x v="1"/>
    <x v="3"/>
    <n v="6"/>
    <n v="7.8599999999999994"/>
    <n v="70.739999999999995"/>
    <n v="54"/>
    <n v="16.739999999999995"/>
  </r>
  <r>
    <x v="48"/>
    <x v="0"/>
    <n v="4"/>
    <x v="3"/>
    <x v="8"/>
    <n v="15"/>
    <x v="1"/>
    <x v="0"/>
    <n v="76"/>
    <x v="8"/>
    <x v="4"/>
    <x v="1"/>
    <n v="93"/>
    <n v="104.16"/>
    <n v="1562.3999999999999"/>
    <n v="1395"/>
    <n v="167.39999999999986"/>
  </r>
  <r>
    <x v="49"/>
    <x v="0"/>
    <n v="4"/>
    <x v="3"/>
    <x v="7"/>
    <n v="3"/>
    <x v="1"/>
    <x v="0"/>
    <n v="7"/>
    <x v="7"/>
    <x v="1"/>
    <x v="0"/>
    <n v="133"/>
    <n v="155.61000000000001"/>
    <n v="466.83000000000004"/>
    <n v="399"/>
    <n v="67.830000000000041"/>
  </r>
  <r>
    <x v="50"/>
    <x v="0"/>
    <n v="4"/>
    <x v="3"/>
    <x v="22"/>
    <n v="14"/>
    <x v="2"/>
    <x v="0"/>
    <n v="40"/>
    <x v="22"/>
    <x v="0"/>
    <x v="0"/>
    <n v="121"/>
    <n v="141.57"/>
    <n v="1981.98"/>
    <n v="1694"/>
    <n v="287.98"/>
  </r>
  <r>
    <x v="51"/>
    <x v="0"/>
    <n v="4"/>
    <x v="3"/>
    <x v="12"/>
    <n v="3"/>
    <x v="2"/>
    <x v="1"/>
    <n v="53"/>
    <x v="12"/>
    <x v="2"/>
    <x v="1"/>
    <n v="67"/>
    <n v="85.76"/>
    <n v="257.28000000000003"/>
    <n v="201"/>
    <n v="56.28000000000003"/>
  </r>
  <r>
    <x v="51"/>
    <x v="0"/>
    <n v="4"/>
    <x v="3"/>
    <x v="26"/>
    <n v="4"/>
    <x v="2"/>
    <x v="0"/>
    <n v="53"/>
    <x v="26"/>
    <x v="4"/>
    <x v="2"/>
    <n v="47"/>
    <n v="53.11"/>
    <n v="212.44"/>
    <n v="188"/>
    <n v="24.439999999999998"/>
  </r>
  <r>
    <x v="51"/>
    <x v="0"/>
    <n v="4"/>
    <x v="3"/>
    <x v="24"/>
    <n v="9"/>
    <x v="2"/>
    <x v="0"/>
    <n v="84"/>
    <x v="24"/>
    <x v="4"/>
    <x v="2"/>
    <n v="48"/>
    <n v="57.120000000000005"/>
    <n v="514.08000000000004"/>
    <n v="432"/>
    <n v="82.080000000000041"/>
  </r>
  <r>
    <x v="51"/>
    <x v="0"/>
    <n v="4"/>
    <x v="3"/>
    <x v="38"/>
    <n v="13"/>
    <x v="2"/>
    <x v="1"/>
    <n v="1"/>
    <x v="38"/>
    <x v="4"/>
    <x v="1"/>
    <n v="95"/>
    <n v="119.7"/>
    <n v="1556.1000000000001"/>
    <n v="1235"/>
    <n v="321.10000000000014"/>
  </r>
  <r>
    <x v="52"/>
    <x v="0"/>
    <n v="4"/>
    <x v="3"/>
    <x v="39"/>
    <n v="3"/>
    <x v="2"/>
    <x v="0"/>
    <n v="74"/>
    <x v="39"/>
    <x v="3"/>
    <x v="0"/>
    <n v="134"/>
    <n v="156.78"/>
    <n v="470.34000000000003"/>
    <n v="402"/>
    <n v="68.340000000000032"/>
  </r>
  <r>
    <x v="53"/>
    <x v="0"/>
    <n v="4"/>
    <x v="3"/>
    <x v="30"/>
    <n v="15"/>
    <x v="2"/>
    <x v="1"/>
    <n v="48"/>
    <x v="30"/>
    <x v="3"/>
    <x v="3"/>
    <n v="37"/>
    <n v="49.21"/>
    <n v="738.15"/>
    <n v="555"/>
    <n v="183.14999999999998"/>
  </r>
  <r>
    <x v="54"/>
    <x v="0"/>
    <n v="4"/>
    <x v="3"/>
    <x v="2"/>
    <n v="9"/>
    <x v="0"/>
    <x v="0"/>
    <n v="41"/>
    <x v="2"/>
    <x v="2"/>
    <x v="1"/>
    <n v="72"/>
    <n v="79.92"/>
    <n v="719.28"/>
    <n v="648"/>
    <n v="71.279999999999973"/>
  </r>
  <r>
    <x v="54"/>
    <x v="0"/>
    <n v="4"/>
    <x v="3"/>
    <x v="40"/>
    <n v="13"/>
    <x v="2"/>
    <x v="1"/>
    <n v="69"/>
    <x v="40"/>
    <x v="3"/>
    <x v="0"/>
    <n v="150"/>
    <n v="210"/>
    <n v="2730"/>
    <n v="1950"/>
    <n v="780"/>
  </r>
  <r>
    <x v="55"/>
    <x v="0"/>
    <n v="4"/>
    <x v="3"/>
    <x v="15"/>
    <n v="6"/>
    <x v="2"/>
    <x v="0"/>
    <n v="72"/>
    <x v="15"/>
    <x v="2"/>
    <x v="0"/>
    <n v="120"/>
    <n v="162"/>
    <n v="972"/>
    <n v="720"/>
    <n v="252"/>
  </r>
  <r>
    <x v="55"/>
    <x v="0"/>
    <n v="4"/>
    <x v="3"/>
    <x v="33"/>
    <n v="10"/>
    <x v="2"/>
    <x v="0"/>
    <n v="62"/>
    <x v="33"/>
    <x v="4"/>
    <x v="3"/>
    <n v="37"/>
    <n v="41.81"/>
    <n v="418.1"/>
    <n v="370"/>
    <n v="48.100000000000023"/>
  </r>
  <r>
    <x v="56"/>
    <x v="0"/>
    <n v="4"/>
    <x v="3"/>
    <x v="27"/>
    <n v="2"/>
    <x v="1"/>
    <x v="0"/>
    <n v="16"/>
    <x v="27"/>
    <x v="4"/>
    <x v="0"/>
    <n v="148"/>
    <n v="201.28"/>
    <n v="402.56"/>
    <n v="296"/>
    <n v="106.56"/>
  </r>
  <r>
    <x v="57"/>
    <x v="0"/>
    <n v="4"/>
    <x v="3"/>
    <x v="12"/>
    <n v="3"/>
    <x v="2"/>
    <x v="0"/>
    <n v="23"/>
    <x v="12"/>
    <x v="2"/>
    <x v="1"/>
    <n v="67"/>
    <n v="85.76"/>
    <n v="257.28000000000003"/>
    <n v="201"/>
    <n v="56.28000000000003"/>
  </r>
  <r>
    <x v="58"/>
    <x v="0"/>
    <n v="4"/>
    <x v="3"/>
    <x v="27"/>
    <n v="7"/>
    <x v="2"/>
    <x v="0"/>
    <n v="20"/>
    <x v="27"/>
    <x v="4"/>
    <x v="0"/>
    <n v="148"/>
    <n v="201.28"/>
    <n v="1408.96"/>
    <n v="1036"/>
    <n v="372.96000000000004"/>
  </r>
  <r>
    <x v="59"/>
    <x v="0"/>
    <n v="4"/>
    <x v="3"/>
    <x v="26"/>
    <n v="1"/>
    <x v="2"/>
    <x v="0"/>
    <n v="19"/>
    <x v="26"/>
    <x v="4"/>
    <x v="2"/>
    <n v="47"/>
    <n v="53.11"/>
    <n v="53.11"/>
    <n v="47"/>
    <n v="6.1099999999999994"/>
  </r>
  <r>
    <x v="60"/>
    <x v="0"/>
    <n v="5"/>
    <x v="4"/>
    <x v="30"/>
    <n v="3"/>
    <x v="1"/>
    <x v="1"/>
    <n v="80"/>
    <x v="30"/>
    <x v="3"/>
    <x v="3"/>
    <n v="37"/>
    <n v="49.21"/>
    <n v="147.63"/>
    <n v="111"/>
    <n v="36.629999999999995"/>
  </r>
  <r>
    <x v="60"/>
    <x v="0"/>
    <n v="5"/>
    <x v="4"/>
    <x v="15"/>
    <n v="1"/>
    <x v="1"/>
    <x v="1"/>
    <n v="86"/>
    <x v="15"/>
    <x v="2"/>
    <x v="0"/>
    <n v="120"/>
    <n v="162"/>
    <n v="162"/>
    <n v="120"/>
    <n v="42"/>
  </r>
  <r>
    <x v="61"/>
    <x v="0"/>
    <n v="5"/>
    <x v="4"/>
    <x v="19"/>
    <n v="3"/>
    <x v="1"/>
    <x v="0"/>
    <n v="83"/>
    <x v="19"/>
    <x v="4"/>
    <x v="2"/>
    <n v="55"/>
    <n v="58.3"/>
    <n v="174.89999999999998"/>
    <n v="165"/>
    <n v="9.8999999999999773"/>
  </r>
  <r>
    <x v="62"/>
    <x v="0"/>
    <n v="5"/>
    <x v="4"/>
    <x v="18"/>
    <n v="13"/>
    <x v="1"/>
    <x v="0"/>
    <n v="77"/>
    <x v="18"/>
    <x v="3"/>
    <x v="3"/>
    <n v="12"/>
    <n v="15.719999999999999"/>
    <n v="204.35999999999999"/>
    <n v="156"/>
    <n v="48.359999999999985"/>
  </r>
  <r>
    <x v="62"/>
    <x v="0"/>
    <n v="5"/>
    <x v="4"/>
    <x v="13"/>
    <n v="4"/>
    <x v="2"/>
    <x v="1"/>
    <n v="34"/>
    <x v="13"/>
    <x v="3"/>
    <x v="1"/>
    <n v="112"/>
    <n v="146.72"/>
    <n v="586.88"/>
    <n v="448"/>
    <n v="138.88"/>
  </r>
  <r>
    <x v="63"/>
    <x v="0"/>
    <n v="5"/>
    <x v="4"/>
    <x v="37"/>
    <n v="13"/>
    <x v="2"/>
    <x v="1"/>
    <n v="30"/>
    <x v="37"/>
    <x v="1"/>
    <x v="3"/>
    <n v="6"/>
    <n v="7.8599999999999994"/>
    <n v="102.17999999999999"/>
    <n v="78"/>
    <n v="24.179999999999993"/>
  </r>
  <r>
    <x v="64"/>
    <x v="0"/>
    <n v="5"/>
    <x v="4"/>
    <x v="11"/>
    <n v="15"/>
    <x v="2"/>
    <x v="0"/>
    <n v="83"/>
    <x v="11"/>
    <x v="1"/>
    <x v="1"/>
    <n v="83"/>
    <n v="94.62"/>
    <n v="1419.3000000000002"/>
    <n v="1245"/>
    <n v="174.30000000000018"/>
  </r>
  <r>
    <x v="64"/>
    <x v="0"/>
    <n v="5"/>
    <x v="4"/>
    <x v="37"/>
    <n v="6"/>
    <x v="1"/>
    <x v="0"/>
    <n v="21"/>
    <x v="37"/>
    <x v="1"/>
    <x v="3"/>
    <n v="6"/>
    <n v="7.8599999999999994"/>
    <n v="47.16"/>
    <n v="36"/>
    <n v="11.159999999999997"/>
  </r>
  <r>
    <x v="65"/>
    <x v="0"/>
    <n v="5"/>
    <x v="4"/>
    <x v="30"/>
    <n v="1"/>
    <x v="2"/>
    <x v="1"/>
    <n v="6"/>
    <x v="30"/>
    <x v="3"/>
    <x v="3"/>
    <n v="37"/>
    <n v="49.21"/>
    <n v="49.21"/>
    <n v="37"/>
    <n v="12.21"/>
  </r>
  <r>
    <x v="66"/>
    <x v="0"/>
    <n v="5"/>
    <x v="4"/>
    <x v="20"/>
    <n v="6"/>
    <x v="1"/>
    <x v="0"/>
    <n v="20"/>
    <x v="20"/>
    <x v="3"/>
    <x v="3"/>
    <n v="13"/>
    <n v="16.64"/>
    <n v="99.84"/>
    <n v="78"/>
    <n v="21.840000000000003"/>
  </r>
  <r>
    <x v="66"/>
    <x v="0"/>
    <n v="5"/>
    <x v="4"/>
    <x v="33"/>
    <n v="8"/>
    <x v="2"/>
    <x v="1"/>
    <n v="1"/>
    <x v="33"/>
    <x v="4"/>
    <x v="3"/>
    <n v="37"/>
    <n v="41.81"/>
    <n v="334.48"/>
    <n v="296"/>
    <n v="38.480000000000018"/>
  </r>
  <r>
    <x v="67"/>
    <x v="0"/>
    <n v="5"/>
    <x v="4"/>
    <x v="20"/>
    <n v="3"/>
    <x v="2"/>
    <x v="0"/>
    <n v="36"/>
    <x v="20"/>
    <x v="3"/>
    <x v="3"/>
    <n v="13"/>
    <n v="16.64"/>
    <n v="49.92"/>
    <n v="39"/>
    <n v="10.920000000000002"/>
  </r>
  <r>
    <x v="67"/>
    <x v="0"/>
    <n v="5"/>
    <x v="4"/>
    <x v="6"/>
    <n v="15"/>
    <x v="2"/>
    <x v="0"/>
    <n v="42"/>
    <x v="6"/>
    <x v="4"/>
    <x v="3"/>
    <n v="5"/>
    <n v="6.7"/>
    <n v="100.5"/>
    <n v="75"/>
    <n v="25.5"/>
  </r>
  <r>
    <x v="68"/>
    <x v="0"/>
    <n v="5"/>
    <x v="4"/>
    <x v="26"/>
    <n v="4"/>
    <x v="2"/>
    <x v="0"/>
    <n v="50"/>
    <x v="26"/>
    <x v="4"/>
    <x v="2"/>
    <n v="47"/>
    <n v="53.11"/>
    <n v="212.44"/>
    <n v="188"/>
    <n v="24.439999999999998"/>
  </r>
  <r>
    <x v="69"/>
    <x v="0"/>
    <n v="5"/>
    <x v="4"/>
    <x v="15"/>
    <n v="2"/>
    <x v="1"/>
    <x v="1"/>
    <n v="57"/>
    <x v="15"/>
    <x v="2"/>
    <x v="0"/>
    <n v="120"/>
    <n v="162"/>
    <n v="324"/>
    <n v="240"/>
    <n v="84"/>
  </r>
  <r>
    <x v="70"/>
    <x v="0"/>
    <n v="5"/>
    <x v="4"/>
    <x v="23"/>
    <n v="11"/>
    <x v="2"/>
    <x v="0"/>
    <n v="27"/>
    <x v="23"/>
    <x v="2"/>
    <x v="1"/>
    <n v="90"/>
    <n v="115.2"/>
    <n v="1267.2"/>
    <n v="990"/>
    <n v="277.20000000000005"/>
  </r>
  <r>
    <x v="71"/>
    <x v="0"/>
    <n v="5"/>
    <x v="4"/>
    <x v="17"/>
    <n v="13"/>
    <x v="1"/>
    <x v="0"/>
    <n v="81"/>
    <x v="17"/>
    <x v="0"/>
    <x v="0"/>
    <n v="141"/>
    <n v="149.46"/>
    <n v="1942.98"/>
    <n v="1833"/>
    <n v="109.98000000000002"/>
  </r>
  <r>
    <x v="71"/>
    <x v="0"/>
    <n v="5"/>
    <x v="4"/>
    <x v="3"/>
    <n v="6"/>
    <x v="1"/>
    <x v="1"/>
    <n v="79"/>
    <x v="3"/>
    <x v="3"/>
    <x v="1"/>
    <n v="112"/>
    <n v="122.08"/>
    <n v="732.48"/>
    <n v="672"/>
    <n v="60.480000000000018"/>
  </r>
  <r>
    <x v="72"/>
    <x v="0"/>
    <n v="6"/>
    <x v="5"/>
    <x v="32"/>
    <n v="10"/>
    <x v="2"/>
    <x v="1"/>
    <n v="62"/>
    <x v="32"/>
    <x v="0"/>
    <x v="0"/>
    <n v="126"/>
    <n v="162.54"/>
    <n v="1625.3999999999999"/>
    <n v="1260"/>
    <n v="365.39999999999986"/>
  </r>
  <r>
    <x v="73"/>
    <x v="0"/>
    <n v="6"/>
    <x v="5"/>
    <x v="21"/>
    <n v="8"/>
    <x v="0"/>
    <x v="0"/>
    <n v="88"/>
    <x v="21"/>
    <x v="0"/>
    <x v="2"/>
    <n v="61"/>
    <n v="76.25"/>
    <n v="610"/>
    <n v="488"/>
    <n v="122"/>
  </r>
  <r>
    <x v="73"/>
    <x v="0"/>
    <n v="6"/>
    <x v="5"/>
    <x v="21"/>
    <n v="12"/>
    <x v="1"/>
    <x v="1"/>
    <n v="30"/>
    <x v="21"/>
    <x v="0"/>
    <x v="2"/>
    <n v="61"/>
    <n v="76.25"/>
    <n v="915"/>
    <n v="732"/>
    <n v="183"/>
  </r>
  <r>
    <x v="74"/>
    <x v="0"/>
    <n v="6"/>
    <x v="5"/>
    <x v="22"/>
    <n v="15"/>
    <x v="0"/>
    <x v="0"/>
    <n v="23"/>
    <x v="22"/>
    <x v="0"/>
    <x v="0"/>
    <n v="121"/>
    <n v="141.57"/>
    <n v="2123.5499999999997"/>
    <n v="1815"/>
    <n v="308.54999999999973"/>
  </r>
  <r>
    <x v="74"/>
    <x v="0"/>
    <n v="6"/>
    <x v="5"/>
    <x v="6"/>
    <n v="10"/>
    <x v="2"/>
    <x v="0"/>
    <n v="76"/>
    <x v="6"/>
    <x v="4"/>
    <x v="3"/>
    <n v="5"/>
    <n v="6.7"/>
    <n v="67"/>
    <n v="50"/>
    <n v="17"/>
  </r>
  <r>
    <x v="75"/>
    <x v="0"/>
    <n v="6"/>
    <x v="5"/>
    <x v="38"/>
    <n v="6"/>
    <x v="2"/>
    <x v="0"/>
    <n v="79"/>
    <x v="38"/>
    <x v="4"/>
    <x v="1"/>
    <n v="95"/>
    <n v="119.7"/>
    <n v="718.2"/>
    <n v="570"/>
    <n v="148.20000000000005"/>
  </r>
  <r>
    <x v="76"/>
    <x v="0"/>
    <n v="6"/>
    <x v="5"/>
    <x v="33"/>
    <n v="11"/>
    <x v="2"/>
    <x v="0"/>
    <n v="80"/>
    <x v="33"/>
    <x v="4"/>
    <x v="3"/>
    <n v="37"/>
    <n v="41.81"/>
    <n v="459.91"/>
    <n v="407"/>
    <n v="52.910000000000025"/>
  </r>
  <r>
    <x v="76"/>
    <x v="0"/>
    <n v="6"/>
    <x v="5"/>
    <x v="5"/>
    <n v="11"/>
    <x v="0"/>
    <x v="1"/>
    <n v="38"/>
    <x v="5"/>
    <x v="1"/>
    <x v="2"/>
    <n v="44"/>
    <n v="48.84"/>
    <n v="537.24"/>
    <n v="484"/>
    <n v="53.240000000000009"/>
  </r>
  <r>
    <x v="77"/>
    <x v="0"/>
    <n v="6"/>
    <x v="5"/>
    <x v="1"/>
    <n v="7"/>
    <x v="2"/>
    <x v="0"/>
    <n v="27"/>
    <x v="1"/>
    <x v="1"/>
    <x v="1"/>
    <n v="98"/>
    <n v="103.88"/>
    <n v="727.16"/>
    <n v="686"/>
    <n v="41.159999999999968"/>
  </r>
  <r>
    <x v="78"/>
    <x v="0"/>
    <n v="6"/>
    <x v="5"/>
    <x v="25"/>
    <n v="12"/>
    <x v="0"/>
    <x v="1"/>
    <n v="22"/>
    <x v="25"/>
    <x v="4"/>
    <x v="1"/>
    <n v="89"/>
    <n v="117.48"/>
    <n v="1409.76"/>
    <n v="1068"/>
    <n v="341.76"/>
  </r>
  <r>
    <x v="79"/>
    <x v="0"/>
    <n v="6"/>
    <x v="5"/>
    <x v="41"/>
    <n v="6"/>
    <x v="2"/>
    <x v="0"/>
    <n v="85"/>
    <x v="41"/>
    <x v="2"/>
    <x v="0"/>
    <n v="138"/>
    <n v="173.88"/>
    <n v="1043.28"/>
    <n v="828"/>
    <n v="215.27999999999997"/>
  </r>
  <r>
    <x v="80"/>
    <x v="0"/>
    <n v="6"/>
    <x v="5"/>
    <x v="10"/>
    <n v="10"/>
    <x v="1"/>
    <x v="1"/>
    <n v="24"/>
    <x v="10"/>
    <x v="0"/>
    <x v="3"/>
    <n v="7"/>
    <n v="8.33"/>
    <n v="83.3"/>
    <n v="70"/>
    <n v="13.299999999999997"/>
  </r>
  <r>
    <x v="81"/>
    <x v="0"/>
    <n v="6"/>
    <x v="5"/>
    <x v="40"/>
    <n v="5"/>
    <x v="0"/>
    <x v="1"/>
    <n v="22"/>
    <x v="40"/>
    <x v="3"/>
    <x v="0"/>
    <n v="150"/>
    <n v="210"/>
    <n v="1050"/>
    <n v="750"/>
    <n v="300"/>
  </r>
  <r>
    <x v="81"/>
    <x v="0"/>
    <n v="6"/>
    <x v="5"/>
    <x v="18"/>
    <n v="12"/>
    <x v="1"/>
    <x v="1"/>
    <n v="57"/>
    <x v="18"/>
    <x v="3"/>
    <x v="3"/>
    <n v="12"/>
    <n v="15.719999999999999"/>
    <n v="188.64"/>
    <n v="144"/>
    <n v="44.639999999999986"/>
  </r>
  <r>
    <x v="81"/>
    <x v="0"/>
    <n v="6"/>
    <x v="5"/>
    <x v="34"/>
    <n v="11"/>
    <x v="2"/>
    <x v="1"/>
    <n v="83"/>
    <x v="34"/>
    <x v="2"/>
    <x v="3"/>
    <n v="37"/>
    <n v="42.55"/>
    <n v="468.04999999999995"/>
    <n v="407"/>
    <n v="61.049999999999955"/>
  </r>
  <r>
    <x v="82"/>
    <x v="0"/>
    <n v="6"/>
    <x v="5"/>
    <x v="10"/>
    <n v="13"/>
    <x v="2"/>
    <x v="1"/>
    <n v="58"/>
    <x v="10"/>
    <x v="0"/>
    <x v="3"/>
    <n v="7"/>
    <n v="8.33"/>
    <n v="108.29"/>
    <n v="91"/>
    <n v="17.290000000000006"/>
  </r>
  <r>
    <x v="83"/>
    <x v="0"/>
    <n v="6"/>
    <x v="5"/>
    <x v="41"/>
    <n v="5"/>
    <x v="2"/>
    <x v="0"/>
    <n v="14"/>
    <x v="41"/>
    <x v="2"/>
    <x v="0"/>
    <n v="138"/>
    <n v="173.88"/>
    <n v="869.4"/>
    <n v="690"/>
    <n v="179.39999999999998"/>
  </r>
  <r>
    <x v="84"/>
    <x v="0"/>
    <n v="6"/>
    <x v="5"/>
    <x v="20"/>
    <n v="1"/>
    <x v="0"/>
    <x v="1"/>
    <n v="37"/>
    <x v="20"/>
    <x v="3"/>
    <x v="3"/>
    <n v="13"/>
    <n v="16.64"/>
    <n v="16.64"/>
    <n v="13"/>
    <n v="3.6400000000000006"/>
  </r>
  <r>
    <x v="85"/>
    <x v="0"/>
    <n v="6"/>
    <x v="5"/>
    <x v="20"/>
    <n v="4"/>
    <x v="2"/>
    <x v="0"/>
    <n v="3"/>
    <x v="20"/>
    <x v="3"/>
    <x v="3"/>
    <n v="13"/>
    <n v="16.64"/>
    <n v="66.56"/>
    <n v="52"/>
    <n v="14.560000000000002"/>
  </r>
  <r>
    <x v="86"/>
    <x v="0"/>
    <n v="6"/>
    <x v="5"/>
    <x v="31"/>
    <n v="13"/>
    <x v="2"/>
    <x v="0"/>
    <n v="71"/>
    <x v="31"/>
    <x v="3"/>
    <x v="2"/>
    <n v="44"/>
    <n v="48.4"/>
    <n v="629.19999999999993"/>
    <n v="572"/>
    <n v="57.199999999999932"/>
  </r>
  <r>
    <x v="87"/>
    <x v="0"/>
    <n v="6"/>
    <x v="5"/>
    <x v="37"/>
    <n v="7"/>
    <x v="1"/>
    <x v="0"/>
    <n v="19"/>
    <x v="37"/>
    <x v="1"/>
    <x v="3"/>
    <n v="6"/>
    <n v="7.8599999999999994"/>
    <n v="55.019999999999996"/>
    <n v="42"/>
    <n v="13.019999999999996"/>
  </r>
  <r>
    <x v="88"/>
    <x v="0"/>
    <n v="6"/>
    <x v="5"/>
    <x v="7"/>
    <n v="11"/>
    <x v="2"/>
    <x v="1"/>
    <n v="71"/>
    <x v="7"/>
    <x v="1"/>
    <x v="0"/>
    <n v="133"/>
    <n v="155.61000000000001"/>
    <n v="1711.71"/>
    <n v="1463"/>
    <n v="248.71000000000004"/>
  </r>
  <r>
    <x v="89"/>
    <x v="0"/>
    <n v="6"/>
    <x v="5"/>
    <x v="32"/>
    <n v="2"/>
    <x v="1"/>
    <x v="1"/>
    <n v="23"/>
    <x v="32"/>
    <x v="0"/>
    <x v="0"/>
    <n v="126"/>
    <n v="162.54"/>
    <n v="325.08"/>
    <n v="252"/>
    <n v="73.079999999999984"/>
  </r>
  <r>
    <x v="89"/>
    <x v="0"/>
    <n v="6"/>
    <x v="5"/>
    <x v="6"/>
    <n v="7"/>
    <x v="1"/>
    <x v="0"/>
    <n v="33"/>
    <x v="6"/>
    <x v="4"/>
    <x v="3"/>
    <n v="5"/>
    <n v="6.7"/>
    <n v="46.9"/>
    <n v="35"/>
    <n v="11.899999999999999"/>
  </r>
  <r>
    <x v="90"/>
    <x v="0"/>
    <n v="6"/>
    <x v="5"/>
    <x v="13"/>
    <n v="4"/>
    <x v="2"/>
    <x v="0"/>
    <n v="36"/>
    <x v="13"/>
    <x v="3"/>
    <x v="1"/>
    <n v="112"/>
    <n v="146.72"/>
    <n v="586.88"/>
    <n v="448"/>
    <n v="138.88"/>
  </r>
  <r>
    <x v="91"/>
    <x v="0"/>
    <n v="7"/>
    <x v="6"/>
    <x v="7"/>
    <n v="11"/>
    <x v="2"/>
    <x v="1"/>
    <n v="23"/>
    <x v="7"/>
    <x v="1"/>
    <x v="0"/>
    <n v="133"/>
    <n v="155.61000000000001"/>
    <n v="1711.71"/>
    <n v="1463"/>
    <n v="248.71000000000004"/>
  </r>
  <r>
    <x v="92"/>
    <x v="0"/>
    <n v="7"/>
    <x v="6"/>
    <x v="14"/>
    <n v="11"/>
    <x v="2"/>
    <x v="1"/>
    <n v="21"/>
    <x v="14"/>
    <x v="3"/>
    <x v="0"/>
    <n v="148"/>
    <n v="164.28"/>
    <n v="1807.08"/>
    <n v="1628"/>
    <n v="179.07999999999993"/>
  </r>
  <r>
    <x v="93"/>
    <x v="0"/>
    <n v="7"/>
    <x v="6"/>
    <x v="38"/>
    <n v="9"/>
    <x v="1"/>
    <x v="1"/>
    <n v="71"/>
    <x v="38"/>
    <x v="4"/>
    <x v="1"/>
    <n v="95"/>
    <n v="119.7"/>
    <n v="1077.3"/>
    <n v="855"/>
    <n v="222.29999999999995"/>
  </r>
  <r>
    <x v="93"/>
    <x v="0"/>
    <n v="7"/>
    <x v="6"/>
    <x v="4"/>
    <n v="8"/>
    <x v="1"/>
    <x v="1"/>
    <n v="72"/>
    <x v="4"/>
    <x v="1"/>
    <x v="1"/>
    <n v="71"/>
    <n v="80.94"/>
    <n v="647.52"/>
    <n v="568"/>
    <n v="79.519999999999982"/>
  </r>
  <r>
    <x v="94"/>
    <x v="0"/>
    <n v="7"/>
    <x v="6"/>
    <x v="29"/>
    <n v="8"/>
    <x v="2"/>
    <x v="0"/>
    <n v="51"/>
    <x v="29"/>
    <x v="1"/>
    <x v="1"/>
    <n v="105"/>
    <n v="142.80000000000001"/>
    <n v="1142.4000000000001"/>
    <n v="840"/>
    <n v="302.40000000000009"/>
  </r>
  <r>
    <x v="95"/>
    <x v="0"/>
    <n v="7"/>
    <x v="6"/>
    <x v="41"/>
    <n v="15"/>
    <x v="2"/>
    <x v="1"/>
    <n v="39"/>
    <x v="41"/>
    <x v="2"/>
    <x v="0"/>
    <n v="138"/>
    <n v="173.88"/>
    <n v="2608.1999999999998"/>
    <n v="2070"/>
    <n v="538.19999999999982"/>
  </r>
  <r>
    <x v="96"/>
    <x v="0"/>
    <n v="7"/>
    <x v="6"/>
    <x v="5"/>
    <n v="10"/>
    <x v="2"/>
    <x v="0"/>
    <n v="52"/>
    <x v="5"/>
    <x v="1"/>
    <x v="2"/>
    <n v="44"/>
    <n v="48.84"/>
    <n v="488.40000000000003"/>
    <n v="440"/>
    <n v="48.400000000000034"/>
  </r>
  <r>
    <x v="97"/>
    <x v="0"/>
    <n v="7"/>
    <x v="6"/>
    <x v="19"/>
    <n v="6"/>
    <x v="0"/>
    <x v="1"/>
    <n v="6"/>
    <x v="19"/>
    <x v="4"/>
    <x v="2"/>
    <n v="55"/>
    <n v="58.3"/>
    <n v="349.79999999999995"/>
    <n v="330"/>
    <n v="19.799999999999955"/>
  </r>
  <r>
    <x v="98"/>
    <x v="0"/>
    <n v="7"/>
    <x v="6"/>
    <x v="37"/>
    <n v="4"/>
    <x v="0"/>
    <x v="0"/>
    <n v="1"/>
    <x v="37"/>
    <x v="1"/>
    <x v="3"/>
    <n v="6"/>
    <n v="7.8599999999999994"/>
    <n v="31.439999999999998"/>
    <n v="24"/>
    <n v="7.4399999999999977"/>
  </r>
  <r>
    <x v="99"/>
    <x v="0"/>
    <n v="7"/>
    <x v="6"/>
    <x v="40"/>
    <n v="1"/>
    <x v="2"/>
    <x v="1"/>
    <n v="77"/>
    <x v="40"/>
    <x v="3"/>
    <x v="0"/>
    <n v="150"/>
    <n v="210"/>
    <n v="210"/>
    <n v="150"/>
    <n v="60"/>
  </r>
  <r>
    <x v="100"/>
    <x v="0"/>
    <n v="7"/>
    <x v="6"/>
    <x v="17"/>
    <n v="8"/>
    <x v="0"/>
    <x v="1"/>
    <n v="1"/>
    <x v="17"/>
    <x v="0"/>
    <x v="0"/>
    <n v="141"/>
    <n v="149.46"/>
    <n v="1195.68"/>
    <n v="1128"/>
    <n v="67.680000000000064"/>
  </r>
  <r>
    <x v="101"/>
    <x v="0"/>
    <n v="7"/>
    <x v="6"/>
    <x v="24"/>
    <n v="14"/>
    <x v="1"/>
    <x v="0"/>
    <n v="20"/>
    <x v="24"/>
    <x v="4"/>
    <x v="2"/>
    <n v="48"/>
    <n v="57.120000000000005"/>
    <n v="799.68000000000006"/>
    <n v="672"/>
    <n v="127.68000000000006"/>
  </r>
  <r>
    <x v="102"/>
    <x v="0"/>
    <n v="7"/>
    <x v="6"/>
    <x v="2"/>
    <n v="11"/>
    <x v="1"/>
    <x v="0"/>
    <n v="20"/>
    <x v="2"/>
    <x v="2"/>
    <x v="1"/>
    <n v="72"/>
    <n v="79.92"/>
    <n v="879.12"/>
    <n v="792"/>
    <n v="87.12"/>
  </r>
  <r>
    <x v="102"/>
    <x v="0"/>
    <n v="7"/>
    <x v="6"/>
    <x v="28"/>
    <n v="5"/>
    <x v="2"/>
    <x v="0"/>
    <n v="53"/>
    <x v="28"/>
    <x v="2"/>
    <x v="1"/>
    <n v="67"/>
    <n v="83.08"/>
    <n v="415.4"/>
    <n v="335"/>
    <n v="80.399999999999977"/>
  </r>
  <r>
    <x v="103"/>
    <x v="0"/>
    <n v="7"/>
    <x v="6"/>
    <x v="26"/>
    <n v="15"/>
    <x v="2"/>
    <x v="0"/>
    <n v="48"/>
    <x v="26"/>
    <x v="4"/>
    <x v="2"/>
    <n v="47"/>
    <n v="53.11"/>
    <n v="796.65"/>
    <n v="705"/>
    <n v="91.649999999999977"/>
  </r>
  <r>
    <x v="104"/>
    <x v="0"/>
    <n v="7"/>
    <x v="6"/>
    <x v="42"/>
    <n v="3"/>
    <x v="0"/>
    <x v="1"/>
    <n v="87"/>
    <x v="42"/>
    <x v="4"/>
    <x v="3"/>
    <n v="18"/>
    <n v="24.66"/>
    <n v="73.98"/>
    <n v="54"/>
    <n v="19.980000000000004"/>
  </r>
  <r>
    <x v="104"/>
    <x v="0"/>
    <n v="7"/>
    <x v="6"/>
    <x v="0"/>
    <n v="14"/>
    <x v="1"/>
    <x v="1"/>
    <n v="59"/>
    <x v="0"/>
    <x v="0"/>
    <x v="0"/>
    <n v="144"/>
    <n v="156.96"/>
    <n v="2197.44"/>
    <n v="2016"/>
    <n v="181.44000000000005"/>
  </r>
  <r>
    <x v="105"/>
    <x v="0"/>
    <n v="7"/>
    <x v="6"/>
    <x v="43"/>
    <n v="7"/>
    <x v="0"/>
    <x v="0"/>
    <n v="39"/>
    <x v="43"/>
    <x v="4"/>
    <x v="1"/>
    <n v="90"/>
    <n v="96.3"/>
    <n v="674.1"/>
    <n v="630"/>
    <n v="44.100000000000023"/>
  </r>
  <r>
    <x v="105"/>
    <x v="0"/>
    <n v="7"/>
    <x v="6"/>
    <x v="12"/>
    <n v="8"/>
    <x v="2"/>
    <x v="0"/>
    <n v="40"/>
    <x v="12"/>
    <x v="2"/>
    <x v="1"/>
    <n v="67"/>
    <n v="85.76"/>
    <n v="686.08"/>
    <n v="536"/>
    <n v="150.08000000000004"/>
  </r>
  <r>
    <x v="106"/>
    <x v="0"/>
    <n v="7"/>
    <x v="6"/>
    <x v="37"/>
    <n v="4"/>
    <x v="1"/>
    <x v="1"/>
    <n v="55"/>
    <x v="37"/>
    <x v="1"/>
    <x v="3"/>
    <n v="6"/>
    <n v="7.8599999999999994"/>
    <n v="31.439999999999998"/>
    <n v="24"/>
    <n v="7.4399999999999977"/>
  </r>
  <r>
    <x v="107"/>
    <x v="0"/>
    <n v="7"/>
    <x v="6"/>
    <x v="16"/>
    <n v="15"/>
    <x v="1"/>
    <x v="1"/>
    <n v="79"/>
    <x v="16"/>
    <x v="2"/>
    <x v="1"/>
    <n v="76"/>
    <n v="82.08"/>
    <n v="1231.2"/>
    <n v="1140"/>
    <n v="91.200000000000045"/>
  </r>
  <r>
    <x v="108"/>
    <x v="0"/>
    <n v="8"/>
    <x v="7"/>
    <x v="1"/>
    <n v="11"/>
    <x v="2"/>
    <x v="1"/>
    <n v="17"/>
    <x v="1"/>
    <x v="1"/>
    <x v="1"/>
    <n v="98"/>
    <n v="103.88"/>
    <n v="1142.6799999999998"/>
    <n v="1078"/>
    <n v="64.679999999999836"/>
  </r>
  <r>
    <x v="109"/>
    <x v="0"/>
    <n v="8"/>
    <x v="7"/>
    <x v="17"/>
    <n v="3"/>
    <x v="2"/>
    <x v="0"/>
    <n v="58"/>
    <x v="17"/>
    <x v="0"/>
    <x v="0"/>
    <n v="141"/>
    <n v="149.46"/>
    <n v="448.38"/>
    <n v="423"/>
    <n v="25.379999999999995"/>
  </r>
  <r>
    <x v="110"/>
    <x v="0"/>
    <n v="8"/>
    <x v="7"/>
    <x v="22"/>
    <n v="13"/>
    <x v="1"/>
    <x v="0"/>
    <n v="23"/>
    <x v="22"/>
    <x v="0"/>
    <x v="0"/>
    <n v="121"/>
    <n v="141.57"/>
    <n v="1840.4099999999999"/>
    <n v="1573"/>
    <n v="267.40999999999985"/>
  </r>
  <r>
    <x v="110"/>
    <x v="0"/>
    <n v="8"/>
    <x v="7"/>
    <x v="19"/>
    <n v="12"/>
    <x v="1"/>
    <x v="0"/>
    <n v="2"/>
    <x v="19"/>
    <x v="4"/>
    <x v="2"/>
    <n v="55"/>
    <n v="58.3"/>
    <n v="699.59999999999991"/>
    <n v="660"/>
    <n v="39.599999999999909"/>
  </r>
  <r>
    <x v="111"/>
    <x v="0"/>
    <n v="8"/>
    <x v="7"/>
    <x v="33"/>
    <n v="14"/>
    <x v="2"/>
    <x v="1"/>
    <n v="9"/>
    <x v="33"/>
    <x v="4"/>
    <x v="3"/>
    <n v="37"/>
    <n v="41.81"/>
    <n v="585.34"/>
    <n v="518"/>
    <n v="67.340000000000032"/>
  </r>
  <r>
    <x v="112"/>
    <x v="0"/>
    <n v="8"/>
    <x v="7"/>
    <x v="12"/>
    <n v="1"/>
    <x v="0"/>
    <x v="1"/>
    <n v="28"/>
    <x v="12"/>
    <x v="2"/>
    <x v="1"/>
    <n v="67"/>
    <n v="85.76"/>
    <n v="85.76"/>
    <n v="67"/>
    <n v="18.760000000000005"/>
  </r>
  <r>
    <x v="113"/>
    <x v="0"/>
    <n v="8"/>
    <x v="7"/>
    <x v="7"/>
    <n v="4"/>
    <x v="0"/>
    <x v="1"/>
    <n v="6"/>
    <x v="7"/>
    <x v="1"/>
    <x v="0"/>
    <n v="133"/>
    <n v="155.61000000000001"/>
    <n v="622.44000000000005"/>
    <n v="532"/>
    <n v="90.440000000000055"/>
  </r>
  <r>
    <x v="113"/>
    <x v="0"/>
    <n v="8"/>
    <x v="7"/>
    <x v="16"/>
    <n v="10"/>
    <x v="1"/>
    <x v="1"/>
    <n v="49"/>
    <x v="16"/>
    <x v="2"/>
    <x v="1"/>
    <n v="76"/>
    <n v="82.08"/>
    <n v="820.8"/>
    <n v="760"/>
    <n v="60.799999999999955"/>
  </r>
  <r>
    <x v="113"/>
    <x v="0"/>
    <n v="8"/>
    <x v="7"/>
    <x v="9"/>
    <n v="6"/>
    <x v="2"/>
    <x v="1"/>
    <n v="28"/>
    <x v="9"/>
    <x v="1"/>
    <x v="1"/>
    <n v="75"/>
    <n v="85.5"/>
    <n v="513"/>
    <n v="450"/>
    <n v="63"/>
  </r>
  <r>
    <x v="114"/>
    <x v="0"/>
    <n v="8"/>
    <x v="7"/>
    <x v="17"/>
    <n v="4"/>
    <x v="2"/>
    <x v="0"/>
    <n v="84"/>
    <x v="17"/>
    <x v="0"/>
    <x v="0"/>
    <n v="141"/>
    <n v="149.46"/>
    <n v="597.84"/>
    <n v="564"/>
    <n v="33.840000000000032"/>
  </r>
  <r>
    <x v="115"/>
    <x v="0"/>
    <n v="8"/>
    <x v="7"/>
    <x v="31"/>
    <n v="13"/>
    <x v="2"/>
    <x v="0"/>
    <n v="68"/>
    <x v="31"/>
    <x v="3"/>
    <x v="2"/>
    <n v="44"/>
    <n v="48.4"/>
    <n v="629.19999999999993"/>
    <n v="572"/>
    <n v="57.199999999999932"/>
  </r>
  <r>
    <x v="115"/>
    <x v="0"/>
    <n v="8"/>
    <x v="7"/>
    <x v="24"/>
    <n v="9"/>
    <x v="2"/>
    <x v="0"/>
    <n v="76"/>
    <x v="24"/>
    <x v="4"/>
    <x v="2"/>
    <n v="48"/>
    <n v="57.120000000000005"/>
    <n v="514.08000000000004"/>
    <n v="432"/>
    <n v="82.080000000000041"/>
  </r>
  <r>
    <x v="116"/>
    <x v="0"/>
    <n v="8"/>
    <x v="7"/>
    <x v="4"/>
    <n v="3"/>
    <x v="1"/>
    <x v="0"/>
    <n v="67"/>
    <x v="4"/>
    <x v="1"/>
    <x v="1"/>
    <n v="71"/>
    <n v="80.94"/>
    <n v="242.82"/>
    <n v="213"/>
    <n v="29.819999999999993"/>
  </r>
  <r>
    <x v="117"/>
    <x v="0"/>
    <n v="8"/>
    <x v="7"/>
    <x v="10"/>
    <n v="6"/>
    <x v="2"/>
    <x v="0"/>
    <n v="33"/>
    <x v="10"/>
    <x v="0"/>
    <x v="3"/>
    <n v="7"/>
    <n v="8.33"/>
    <n v="49.980000000000004"/>
    <n v="42"/>
    <n v="7.980000000000004"/>
  </r>
  <r>
    <x v="118"/>
    <x v="0"/>
    <n v="8"/>
    <x v="7"/>
    <x v="21"/>
    <n v="15"/>
    <x v="2"/>
    <x v="1"/>
    <n v="23"/>
    <x v="21"/>
    <x v="0"/>
    <x v="2"/>
    <n v="61"/>
    <n v="76.25"/>
    <n v="1143.75"/>
    <n v="915"/>
    <n v="228.75"/>
  </r>
  <r>
    <x v="118"/>
    <x v="0"/>
    <n v="8"/>
    <x v="7"/>
    <x v="8"/>
    <n v="9"/>
    <x v="2"/>
    <x v="0"/>
    <n v="37"/>
    <x v="8"/>
    <x v="4"/>
    <x v="1"/>
    <n v="93"/>
    <n v="104.16"/>
    <n v="937.43999999999994"/>
    <n v="837"/>
    <n v="100.43999999999994"/>
  </r>
  <r>
    <x v="118"/>
    <x v="0"/>
    <n v="8"/>
    <x v="7"/>
    <x v="33"/>
    <n v="13"/>
    <x v="2"/>
    <x v="0"/>
    <n v="63"/>
    <x v="33"/>
    <x v="4"/>
    <x v="3"/>
    <n v="37"/>
    <n v="41.81"/>
    <n v="543.53"/>
    <n v="481"/>
    <n v="62.529999999999973"/>
  </r>
  <r>
    <x v="119"/>
    <x v="0"/>
    <n v="8"/>
    <x v="7"/>
    <x v="34"/>
    <n v="4"/>
    <x v="2"/>
    <x v="0"/>
    <n v="53"/>
    <x v="34"/>
    <x v="2"/>
    <x v="3"/>
    <n v="37"/>
    <n v="42.55"/>
    <n v="170.2"/>
    <n v="148"/>
    <n v="22.199999999999989"/>
  </r>
  <r>
    <x v="120"/>
    <x v="0"/>
    <n v="8"/>
    <x v="7"/>
    <x v="19"/>
    <n v="12"/>
    <x v="0"/>
    <x v="0"/>
    <n v="16"/>
    <x v="19"/>
    <x v="4"/>
    <x v="2"/>
    <n v="55"/>
    <n v="58.3"/>
    <n v="699.59999999999991"/>
    <n v="660"/>
    <n v="39.599999999999909"/>
  </r>
  <r>
    <x v="121"/>
    <x v="0"/>
    <n v="8"/>
    <x v="7"/>
    <x v="3"/>
    <n v="13"/>
    <x v="2"/>
    <x v="0"/>
    <n v="85"/>
    <x v="3"/>
    <x v="3"/>
    <x v="1"/>
    <n v="112"/>
    <n v="122.08"/>
    <n v="1587.04"/>
    <n v="1456"/>
    <n v="131.03999999999996"/>
  </r>
  <r>
    <x v="122"/>
    <x v="0"/>
    <n v="8"/>
    <x v="7"/>
    <x v="1"/>
    <n v="2"/>
    <x v="2"/>
    <x v="0"/>
    <n v="46"/>
    <x v="1"/>
    <x v="1"/>
    <x v="1"/>
    <n v="98"/>
    <n v="103.88"/>
    <n v="207.76"/>
    <n v="196"/>
    <n v="11.759999999999991"/>
  </r>
  <r>
    <x v="122"/>
    <x v="0"/>
    <n v="8"/>
    <x v="7"/>
    <x v="6"/>
    <n v="11"/>
    <x v="2"/>
    <x v="0"/>
    <n v="88"/>
    <x v="6"/>
    <x v="4"/>
    <x v="3"/>
    <n v="5"/>
    <n v="6.7"/>
    <n v="73.7"/>
    <n v="55"/>
    <n v="18.700000000000003"/>
  </r>
  <r>
    <x v="123"/>
    <x v="0"/>
    <n v="9"/>
    <x v="8"/>
    <x v="0"/>
    <n v="1"/>
    <x v="0"/>
    <x v="1"/>
    <n v="34"/>
    <x v="0"/>
    <x v="0"/>
    <x v="0"/>
    <n v="144"/>
    <n v="156.96"/>
    <n v="156.96"/>
    <n v="144"/>
    <n v="12.960000000000008"/>
  </r>
  <r>
    <x v="123"/>
    <x v="0"/>
    <n v="9"/>
    <x v="8"/>
    <x v="4"/>
    <n v="14"/>
    <x v="1"/>
    <x v="0"/>
    <n v="1"/>
    <x v="4"/>
    <x v="1"/>
    <x v="1"/>
    <n v="71"/>
    <n v="80.94"/>
    <n v="1133.1599999999999"/>
    <n v="994"/>
    <n v="139.15999999999985"/>
  </r>
  <r>
    <x v="124"/>
    <x v="0"/>
    <n v="9"/>
    <x v="8"/>
    <x v="41"/>
    <n v="8"/>
    <x v="2"/>
    <x v="0"/>
    <n v="33"/>
    <x v="41"/>
    <x v="2"/>
    <x v="0"/>
    <n v="138"/>
    <n v="173.88"/>
    <n v="1391.04"/>
    <n v="1104"/>
    <n v="287.03999999999996"/>
  </r>
  <r>
    <x v="125"/>
    <x v="0"/>
    <n v="9"/>
    <x v="8"/>
    <x v="33"/>
    <n v="7"/>
    <x v="2"/>
    <x v="0"/>
    <n v="10"/>
    <x v="33"/>
    <x v="4"/>
    <x v="3"/>
    <n v="37"/>
    <n v="41.81"/>
    <n v="292.67"/>
    <n v="259"/>
    <n v="33.670000000000016"/>
  </r>
  <r>
    <x v="125"/>
    <x v="0"/>
    <n v="9"/>
    <x v="8"/>
    <x v="17"/>
    <n v="15"/>
    <x v="2"/>
    <x v="0"/>
    <n v="65"/>
    <x v="17"/>
    <x v="0"/>
    <x v="0"/>
    <n v="141"/>
    <n v="149.46"/>
    <n v="2241.9"/>
    <n v="2115"/>
    <n v="126.90000000000009"/>
  </r>
  <r>
    <x v="126"/>
    <x v="0"/>
    <n v="9"/>
    <x v="8"/>
    <x v="25"/>
    <n v="1"/>
    <x v="2"/>
    <x v="1"/>
    <n v="87"/>
    <x v="25"/>
    <x v="4"/>
    <x v="1"/>
    <n v="89"/>
    <n v="117.48"/>
    <n v="117.48"/>
    <n v="89"/>
    <n v="28.480000000000004"/>
  </r>
  <r>
    <x v="127"/>
    <x v="0"/>
    <n v="9"/>
    <x v="8"/>
    <x v="40"/>
    <n v="5"/>
    <x v="2"/>
    <x v="0"/>
    <n v="85"/>
    <x v="40"/>
    <x v="3"/>
    <x v="0"/>
    <n v="150"/>
    <n v="210"/>
    <n v="1050"/>
    <n v="750"/>
    <n v="300"/>
  </r>
  <r>
    <x v="128"/>
    <x v="0"/>
    <n v="9"/>
    <x v="8"/>
    <x v="16"/>
    <n v="4"/>
    <x v="2"/>
    <x v="0"/>
    <n v="33"/>
    <x v="16"/>
    <x v="2"/>
    <x v="1"/>
    <n v="76"/>
    <n v="82.08"/>
    <n v="328.32"/>
    <n v="304"/>
    <n v="24.319999999999993"/>
  </r>
  <r>
    <x v="129"/>
    <x v="0"/>
    <n v="9"/>
    <x v="8"/>
    <x v="27"/>
    <n v="6"/>
    <x v="2"/>
    <x v="0"/>
    <n v="37"/>
    <x v="27"/>
    <x v="4"/>
    <x v="0"/>
    <n v="148"/>
    <n v="201.28"/>
    <n v="1207.68"/>
    <n v="888"/>
    <n v="319.68000000000006"/>
  </r>
  <r>
    <x v="129"/>
    <x v="0"/>
    <n v="9"/>
    <x v="8"/>
    <x v="1"/>
    <n v="9"/>
    <x v="0"/>
    <x v="0"/>
    <n v="81"/>
    <x v="1"/>
    <x v="1"/>
    <x v="1"/>
    <n v="98"/>
    <n v="103.88"/>
    <n v="934.92"/>
    <n v="882"/>
    <n v="52.919999999999959"/>
  </r>
  <r>
    <x v="129"/>
    <x v="0"/>
    <n v="9"/>
    <x v="8"/>
    <x v="42"/>
    <n v="2"/>
    <x v="2"/>
    <x v="0"/>
    <n v="20"/>
    <x v="42"/>
    <x v="4"/>
    <x v="3"/>
    <n v="18"/>
    <n v="24.66"/>
    <n v="49.32"/>
    <n v="36"/>
    <n v="13.32"/>
  </r>
  <r>
    <x v="130"/>
    <x v="0"/>
    <n v="9"/>
    <x v="8"/>
    <x v="1"/>
    <n v="6"/>
    <x v="0"/>
    <x v="0"/>
    <n v="83"/>
    <x v="1"/>
    <x v="1"/>
    <x v="1"/>
    <n v="98"/>
    <n v="103.88"/>
    <n v="623.28"/>
    <n v="588"/>
    <n v="35.279999999999973"/>
  </r>
  <r>
    <x v="131"/>
    <x v="0"/>
    <n v="9"/>
    <x v="8"/>
    <x v="41"/>
    <n v="7"/>
    <x v="2"/>
    <x v="1"/>
    <n v="37"/>
    <x v="41"/>
    <x v="2"/>
    <x v="0"/>
    <n v="138"/>
    <n v="173.88"/>
    <n v="1217.1599999999999"/>
    <n v="966"/>
    <n v="251.15999999999985"/>
  </r>
  <r>
    <x v="132"/>
    <x v="0"/>
    <n v="9"/>
    <x v="8"/>
    <x v="15"/>
    <n v="6"/>
    <x v="2"/>
    <x v="0"/>
    <n v="38"/>
    <x v="15"/>
    <x v="2"/>
    <x v="0"/>
    <n v="120"/>
    <n v="162"/>
    <n v="972"/>
    <n v="720"/>
    <n v="252"/>
  </r>
  <r>
    <x v="132"/>
    <x v="0"/>
    <n v="9"/>
    <x v="8"/>
    <x v="15"/>
    <n v="14"/>
    <x v="2"/>
    <x v="0"/>
    <n v="20"/>
    <x v="15"/>
    <x v="2"/>
    <x v="0"/>
    <n v="120"/>
    <n v="162"/>
    <n v="2268"/>
    <n v="1680"/>
    <n v="588"/>
  </r>
  <r>
    <x v="133"/>
    <x v="0"/>
    <n v="9"/>
    <x v="8"/>
    <x v="21"/>
    <n v="7"/>
    <x v="0"/>
    <x v="1"/>
    <n v="71"/>
    <x v="21"/>
    <x v="0"/>
    <x v="2"/>
    <n v="61"/>
    <n v="76.25"/>
    <n v="533.75"/>
    <n v="427"/>
    <n v="106.75"/>
  </r>
  <r>
    <x v="134"/>
    <x v="0"/>
    <n v="9"/>
    <x v="8"/>
    <x v="23"/>
    <n v="2"/>
    <x v="1"/>
    <x v="1"/>
    <n v="17"/>
    <x v="23"/>
    <x v="2"/>
    <x v="1"/>
    <n v="90"/>
    <n v="115.2"/>
    <n v="230.4"/>
    <n v="180"/>
    <n v="50.400000000000006"/>
  </r>
  <r>
    <x v="134"/>
    <x v="0"/>
    <n v="9"/>
    <x v="8"/>
    <x v="29"/>
    <n v="4"/>
    <x v="2"/>
    <x v="1"/>
    <n v="62"/>
    <x v="29"/>
    <x v="1"/>
    <x v="1"/>
    <n v="105"/>
    <n v="142.80000000000001"/>
    <n v="571.20000000000005"/>
    <n v="420"/>
    <n v="151.20000000000005"/>
  </r>
  <r>
    <x v="135"/>
    <x v="0"/>
    <n v="9"/>
    <x v="8"/>
    <x v="30"/>
    <n v="12"/>
    <x v="2"/>
    <x v="1"/>
    <n v="63"/>
    <x v="30"/>
    <x v="3"/>
    <x v="3"/>
    <n v="37"/>
    <n v="49.21"/>
    <n v="590.52"/>
    <n v="444"/>
    <n v="146.51999999999998"/>
  </r>
  <r>
    <x v="135"/>
    <x v="0"/>
    <n v="9"/>
    <x v="8"/>
    <x v="32"/>
    <n v="7"/>
    <x v="1"/>
    <x v="0"/>
    <n v="6"/>
    <x v="32"/>
    <x v="0"/>
    <x v="0"/>
    <n v="126"/>
    <n v="162.54"/>
    <n v="1137.78"/>
    <n v="882"/>
    <n v="255.77999999999997"/>
  </r>
  <r>
    <x v="136"/>
    <x v="0"/>
    <n v="9"/>
    <x v="8"/>
    <x v="19"/>
    <n v="1"/>
    <x v="2"/>
    <x v="1"/>
    <n v="11"/>
    <x v="19"/>
    <x v="4"/>
    <x v="2"/>
    <n v="55"/>
    <n v="58.3"/>
    <n v="58.3"/>
    <n v="55"/>
    <n v="3.2999999999999972"/>
  </r>
  <r>
    <x v="137"/>
    <x v="0"/>
    <n v="9"/>
    <x v="8"/>
    <x v="13"/>
    <n v="9"/>
    <x v="1"/>
    <x v="0"/>
    <n v="49"/>
    <x v="13"/>
    <x v="3"/>
    <x v="1"/>
    <n v="112"/>
    <n v="146.72"/>
    <n v="1320.48"/>
    <n v="1008"/>
    <n v="312.48"/>
  </r>
  <r>
    <x v="137"/>
    <x v="0"/>
    <n v="9"/>
    <x v="8"/>
    <x v="9"/>
    <n v="5"/>
    <x v="1"/>
    <x v="0"/>
    <n v="61"/>
    <x v="9"/>
    <x v="1"/>
    <x v="1"/>
    <n v="75"/>
    <n v="85.5"/>
    <n v="427.5"/>
    <n v="375"/>
    <n v="52.5"/>
  </r>
  <r>
    <x v="138"/>
    <x v="0"/>
    <n v="10"/>
    <x v="9"/>
    <x v="27"/>
    <n v="14"/>
    <x v="1"/>
    <x v="1"/>
    <n v="26"/>
    <x v="27"/>
    <x v="4"/>
    <x v="0"/>
    <n v="148"/>
    <n v="201.28"/>
    <n v="2817.92"/>
    <n v="2072"/>
    <n v="745.92000000000007"/>
  </r>
  <r>
    <x v="139"/>
    <x v="0"/>
    <n v="10"/>
    <x v="9"/>
    <x v="13"/>
    <n v="15"/>
    <x v="2"/>
    <x v="0"/>
    <n v="11"/>
    <x v="13"/>
    <x v="3"/>
    <x v="1"/>
    <n v="112"/>
    <n v="146.72"/>
    <n v="2200.8000000000002"/>
    <n v="1680"/>
    <n v="520.80000000000018"/>
  </r>
  <r>
    <x v="140"/>
    <x v="0"/>
    <n v="10"/>
    <x v="9"/>
    <x v="40"/>
    <n v="9"/>
    <x v="2"/>
    <x v="0"/>
    <n v="56"/>
    <x v="40"/>
    <x v="3"/>
    <x v="0"/>
    <n v="150"/>
    <n v="210"/>
    <n v="1890"/>
    <n v="1350"/>
    <n v="540"/>
  </r>
  <r>
    <x v="141"/>
    <x v="0"/>
    <n v="10"/>
    <x v="9"/>
    <x v="6"/>
    <n v="1"/>
    <x v="2"/>
    <x v="0"/>
    <n v="26"/>
    <x v="6"/>
    <x v="4"/>
    <x v="3"/>
    <n v="5"/>
    <n v="6.7"/>
    <n v="6.7"/>
    <n v="5"/>
    <n v="1.7000000000000002"/>
  </r>
  <r>
    <x v="141"/>
    <x v="0"/>
    <n v="10"/>
    <x v="9"/>
    <x v="43"/>
    <n v="12"/>
    <x v="1"/>
    <x v="0"/>
    <n v="53"/>
    <x v="43"/>
    <x v="4"/>
    <x v="1"/>
    <n v="90"/>
    <n v="96.3"/>
    <n v="1155.5999999999999"/>
    <n v="1080"/>
    <n v="75.599999999999909"/>
  </r>
  <r>
    <x v="142"/>
    <x v="0"/>
    <n v="10"/>
    <x v="9"/>
    <x v="42"/>
    <n v="6"/>
    <x v="2"/>
    <x v="1"/>
    <n v="21"/>
    <x v="42"/>
    <x v="4"/>
    <x v="3"/>
    <n v="18"/>
    <n v="24.66"/>
    <n v="147.96"/>
    <n v="108"/>
    <n v="39.960000000000008"/>
  </r>
  <r>
    <x v="143"/>
    <x v="0"/>
    <n v="10"/>
    <x v="9"/>
    <x v="2"/>
    <n v="5"/>
    <x v="2"/>
    <x v="1"/>
    <n v="16"/>
    <x v="2"/>
    <x v="2"/>
    <x v="1"/>
    <n v="72"/>
    <n v="79.92"/>
    <n v="399.6"/>
    <n v="360"/>
    <n v="39.600000000000023"/>
  </r>
  <r>
    <x v="143"/>
    <x v="0"/>
    <n v="10"/>
    <x v="9"/>
    <x v="25"/>
    <n v="11"/>
    <x v="1"/>
    <x v="1"/>
    <n v="34"/>
    <x v="25"/>
    <x v="4"/>
    <x v="1"/>
    <n v="89"/>
    <n v="117.48"/>
    <n v="1292.28"/>
    <n v="979"/>
    <n v="313.27999999999997"/>
  </r>
  <r>
    <x v="144"/>
    <x v="0"/>
    <n v="10"/>
    <x v="9"/>
    <x v="6"/>
    <n v="14"/>
    <x v="2"/>
    <x v="1"/>
    <n v="79"/>
    <x v="6"/>
    <x v="4"/>
    <x v="3"/>
    <n v="5"/>
    <n v="6.7"/>
    <n v="93.8"/>
    <n v="70"/>
    <n v="23.799999999999997"/>
  </r>
  <r>
    <x v="145"/>
    <x v="0"/>
    <n v="10"/>
    <x v="9"/>
    <x v="31"/>
    <n v="15"/>
    <x v="2"/>
    <x v="1"/>
    <n v="39"/>
    <x v="31"/>
    <x v="3"/>
    <x v="2"/>
    <n v="44"/>
    <n v="48.4"/>
    <n v="726"/>
    <n v="660"/>
    <n v="66"/>
  </r>
  <r>
    <x v="146"/>
    <x v="0"/>
    <n v="10"/>
    <x v="9"/>
    <x v="24"/>
    <n v="8"/>
    <x v="1"/>
    <x v="0"/>
    <n v="64"/>
    <x v="24"/>
    <x v="4"/>
    <x v="2"/>
    <n v="48"/>
    <n v="57.120000000000005"/>
    <n v="456.96000000000004"/>
    <n v="384"/>
    <n v="72.960000000000036"/>
  </r>
  <r>
    <x v="147"/>
    <x v="0"/>
    <n v="10"/>
    <x v="9"/>
    <x v="1"/>
    <n v="13"/>
    <x v="2"/>
    <x v="0"/>
    <n v="81"/>
    <x v="1"/>
    <x v="1"/>
    <x v="1"/>
    <n v="98"/>
    <n v="103.88"/>
    <n v="1350.44"/>
    <n v="1274"/>
    <n v="76.440000000000055"/>
  </r>
  <r>
    <x v="148"/>
    <x v="0"/>
    <n v="10"/>
    <x v="9"/>
    <x v="10"/>
    <n v="6"/>
    <x v="1"/>
    <x v="1"/>
    <n v="14"/>
    <x v="10"/>
    <x v="0"/>
    <x v="3"/>
    <n v="7"/>
    <n v="8.33"/>
    <n v="49.980000000000004"/>
    <n v="42"/>
    <n v="7.980000000000004"/>
  </r>
  <r>
    <x v="148"/>
    <x v="0"/>
    <n v="10"/>
    <x v="9"/>
    <x v="32"/>
    <n v="13"/>
    <x v="1"/>
    <x v="1"/>
    <n v="40"/>
    <x v="32"/>
    <x v="0"/>
    <x v="0"/>
    <n v="126"/>
    <n v="162.54"/>
    <n v="2113.02"/>
    <n v="1638"/>
    <n v="475.02"/>
  </r>
  <r>
    <x v="149"/>
    <x v="0"/>
    <n v="10"/>
    <x v="9"/>
    <x v="31"/>
    <n v="7"/>
    <x v="2"/>
    <x v="1"/>
    <n v="16"/>
    <x v="31"/>
    <x v="3"/>
    <x v="2"/>
    <n v="44"/>
    <n v="48.4"/>
    <n v="338.8"/>
    <n v="308"/>
    <n v="30.800000000000011"/>
  </r>
  <r>
    <x v="149"/>
    <x v="0"/>
    <n v="10"/>
    <x v="9"/>
    <x v="0"/>
    <n v="13"/>
    <x v="1"/>
    <x v="1"/>
    <n v="22"/>
    <x v="0"/>
    <x v="0"/>
    <x v="0"/>
    <n v="144"/>
    <n v="156.96"/>
    <n v="2040.48"/>
    <n v="1872"/>
    <n v="168.48000000000002"/>
  </r>
  <r>
    <x v="149"/>
    <x v="0"/>
    <n v="10"/>
    <x v="9"/>
    <x v="37"/>
    <n v="1"/>
    <x v="2"/>
    <x v="1"/>
    <n v="48"/>
    <x v="37"/>
    <x v="1"/>
    <x v="3"/>
    <n v="6"/>
    <n v="7.8599999999999994"/>
    <n v="7.8599999999999994"/>
    <n v="6"/>
    <n v="1.8599999999999994"/>
  </r>
  <r>
    <x v="150"/>
    <x v="0"/>
    <n v="10"/>
    <x v="9"/>
    <x v="31"/>
    <n v="3"/>
    <x v="0"/>
    <x v="1"/>
    <n v="88"/>
    <x v="31"/>
    <x v="3"/>
    <x v="2"/>
    <n v="44"/>
    <n v="48.4"/>
    <n v="145.19999999999999"/>
    <n v="132"/>
    <n v="13.199999999999989"/>
  </r>
  <r>
    <x v="151"/>
    <x v="0"/>
    <n v="10"/>
    <x v="9"/>
    <x v="16"/>
    <n v="9"/>
    <x v="1"/>
    <x v="1"/>
    <n v="37"/>
    <x v="16"/>
    <x v="2"/>
    <x v="1"/>
    <n v="76"/>
    <n v="82.08"/>
    <n v="738.72"/>
    <n v="684"/>
    <n v="54.720000000000027"/>
  </r>
  <r>
    <x v="152"/>
    <x v="0"/>
    <n v="10"/>
    <x v="9"/>
    <x v="5"/>
    <n v="6"/>
    <x v="0"/>
    <x v="1"/>
    <n v="63"/>
    <x v="5"/>
    <x v="1"/>
    <x v="2"/>
    <n v="44"/>
    <n v="48.84"/>
    <n v="293.04000000000002"/>
    <n v="264"/>
    <n v="29.04000000000002"/>
  </r>
  <r>
    <x v="153"/>
    <x v="0"/>
    <n v="10"/>
    <x v="9"/>
    <x v="11"/>
    <n v="1"/>
    <x v="2"/>
    <x v="1"/>
    <n v="52"/>
    <x v="11"/>
    <x v="1"/>
    <x v="1"/>
    <n v="83"/>
    <n v="94.62"/>
    <n v="94.62"/>
    <n v="83"/>
    <n v="11.620000000000005"/>
  </r>
  <r>
    <x v="154"/>
    <x v="0"/>
    <n v="10"/>
    <x v="9"/>
    <x v="2"/>
    <n v="14"/>
    <x v="1"/>
    <x v="0"/>
    <n v="63"/>
    <x v="2"/>
    <x v="2"/>
    <x v="1"/>
    <n v="72"/>
    <n v="79.92"/>
    <n v="1118.8800000000001"/>
    <n v="1008"/>
    <n v="110.88000000000011"/>
  </r>
  <r>
    <x v="155"/>
    <x v="0"/>
    <n v="10"/>
    <x v="9"/>
    <x v="32"/>
    <n v="6"/>
    <x v="1"/>
    <x v="1"/>
    <n v="8"/>
    <x v="32"/>
    <x v="0"/>
    <x v="0"/>
    <n v="126"/>
    <n v="162.54"/>
    <n v="975.24"/>
    <n v="756"/>
    <n v="219.24"/>
  </r>
  <r>
    <x v="156"/>
    <x v="0"/>
    <n v="11"/>
    <x v="10"/>
    <x v="3"/>
    <n v="12"/>
    <x v="2"/>
    <x v="1"/>
    <n v="61"/>
    <x v="3"/>
    <x v="3"/>
    <x v="1"/>
    <n v="112"/>
    <n v="122.08"/>
    <n v="1464.96"/>
    <n v="1344"/>
    <n v="120.96000000000004"/>
  </r>
  <r>
    <x v="157"/>
    <x v="0"/>
    <n v="11"/>
    <x v="10"/>
    <x v="43"/>
    <n v="10"/>
    <x v="2"/>
    <x v="0"/>
    <n v="90"/>
    <x v="43"/>
    <x v="4"/>
    <x v="1"/>
    <n v="90"/>
    <n v="96.3"/>
    <n v="963"/>
    <n v="900"/>
    <n v="63"/>
  </r>
  <r>
    <x v="158"/>
    <x v="0"/>
    <n v="11"/>
    <x v="10"/>
    <x v="36"/>
    <n v="15"/>
    <x v="2"/>
    <x v="0"/>
    <n v="46"/>
    <x v="36"/>
    <x v="1"/>
    <x v="2"/>
    <n v="43"/>
    <n v="47.730000000000004"/>
    <n v="715.95"/>
    <n v="645"/>
    <n v="70.950000000000045"/>
  </r>
  <r>
    <x v="159"/>
    <x v="0"/>
    <n v="11"/>
    <x v="10"/>
    <x v="15"/>
    <n v="6"/>
    <x v="1"/>
    <x v="1"/>
    <n v="5"/>
    <x v="15"/>
    <x v="2"/>
    <x v="0"/>
    <n v="120"/>
    <n v="162"/>
    <n v="972"/>
    <n v="720"/>
    <n v="252"/>
  </r>
  <r>
    <x v="160"/>
    <x v="0"/>
    <n v="11"/>
    <x v="10"/>
    <x v="23"/>
    <n v="12"/>
    <x v="0"/>
    <x v="0"/>
    <n v="24"/>
    <x v="23"/>
    <x v="2"/>
    <x v="1"/>
    <n v="90"/>
    <n v="115.2"/>
    <n v="1382.4"/>
    <n v="1080"/>
    <n v="302.40000000000009"/>
  </r>
  <r>
    <x v="161"/>
    <x v="0"/>
    <n v="11"/>
    <x v="10"/>
    <x v="14"/>
    <n v="3"/>
    <x v="1"/>
    <x v="1"/>
    <n v="53"/>
    <x v="14"/>
    <x v="3"/>
    <x v="0"/>
    <n v="148"/>
    <n v="164.28"/>
    <n v="492.84000000000003"/>
    <n v="444"/>
    <n v="48.840000000000032"/>
  </r>
  <r>
    <x v="162"/>
    <x v="0"/>
    <n v="11"/>
    <x v="10"/>
    <x v="19"/>
    <n v="14"/>
    <x v="1"/>
    <x v="0"/>
    <n v="7"/>
    <x v="19"/>
    <x v="4"/>
    <x v="2"/>
    <n v="55"/>
    <n v="58.3"/>
    <n v="816.19999999999993"/>
    <n v="770"/>
    <n v="46.199999999999932"/>
  </r>
  <r>
    <x v="162"/>
    <x v="0"/>
    <n v="11"/>
    <x v="10"/>
    <x v="11"/>
    <n v="11"/>
    <x v="1"/>
    <x v="1"/>
    <n v="26"/>
    <x v="11"/>
    <x v="1"/>
    <x v="1"/>
    <n v="83"/>
    <n v="94.62"/>
    <n v="1040.8200000000002"/>
    <n v="913"/>
    <n v="127.82000000000016"/>
  </r>
  <r>
    <x v="163"/>
    <x v="0"/>
    <n v="11"/>
    <x v="10"/>
    <x v="13"/>
    <n v="1"/>
    <x v="0"/>
    <x v="0"/>
    <n v="77"/>
    <x v="13"/>
    <x v="3"/>
    <x v="1"/>
    <n v="112"/>
    <n v="146.72"/>
    <n v="146.72"/>
    <n v="112"/>
    <n v="34.72"/>
  </r>
  <r>
    <x v="163"/>
    <x v="0"/>
    <n v="11"/>
    <x v="10"/>
    <x v="9"/>
    <n v="1"/>
    <x v="1"/>
    <x v="1"/>
    <n v="68"/>
    <x v="9"/>
    <x v="1"/>
    <x v="1"/>
    <n v="75"/>
    <n v="85.5"/>
    <n v="85.5"/>
    <n v="75"/>
    <n v="10.5"/>
  </r>
  <r>
    <x v="164"/>
    <x v="0"/>
    <n v="11"/>
    <x v="10"/>
    <x v="35"/>
    <n v="8"/>
    <x v="1"/>
    <x v="0"/>
    <n v="63"/>
    <x v="35"/>
    <x v="3"/>
    <x v="1"/>
    <n v="73"/>
    <n v="94.17"/>
    <n v="753.36"/>
    <n v="584"/>
    <n v="169.36"/>
  </r>
  <r>
    <x v="165"/>
    <x v="0"/>
    <n v="11"/>
    <x v="10"/>
    <x v="23"/>
    <n v="2"/>
    <x v="2"/>
    <x v="1"/>
    <n v="20"/>
    <x v="23"/>
    <x v="2"/>
    <x v="1"/>
    <n v="90"/>
    <n v="115.2"/>
    <n v="230.4"/>
    <n v="180"/>
    <n v="50.400000000000006"/>
  </r>
  <r>
    <x v="166"/>
    <x v="0"/>
    <n v="11"/>
    <x v="10"/>
    <x v="34"/>
    <n v="15"/>
    <x v="2"/>
    <x v="0"/>
    <n v="71"/>
    <x v="34"/>
    <x v="2"/>
    <x v="3"/>
    <n v="37"/>
    <n v="42.55"/>
    <n v="638.25"/>
    <n v="555"/>
    <n v="83.25"/>
  </r>
  <r>
    <x v="167"/>
    <x v="0"/>
    <n v="12"/>
    <x v="11"/>
    <x v="20"/>
    <n v="10"/>
    <x v="2"/>
    <x v="1"/>
    <n v="75"/>
    <x v="20"/>
    <x v="3"/>
    <x v="3"/>
    <n v="13"/>
    <n v="16.64"/>
    <n v="166.4"/>
    <n v="130"/>
    <n v="36.400000000000006"/>
  </r>
  <r>
    <x v="168"/>
    <x v="0"/>
    <n v="12"/>
    <x v="11"/>
    <x v="19"/>
    <n v="2"/>
    <x v="1"/>
    <x v="1"/>
    <n v="26"/>
    <x v="19"/>
    <x v="4"/>
    <x v="2"/>
    <n v="55"/>
    <n v="58.3"/>
    <n v="116.6"/>
    <n v="110"/>
    <n v="6.5999999999999943"/>
  </r>
  <r>
    <x v="168"/>
    <x v="0"/>
    <n v="12"/>
    <x v="11"/>
    <x v="40"/>
    <n v="8"/>
    <x v="1"/>
    <x v="0"/>
    <n v="46"/>
    <x v="40"/>
    <x v="3"/>
    <x v="0"/>
    <n v="150"/>
    <n v="210"/>
    <n v="1680"/>
    <n v="1200"/>
    <n v="480"/>
  </r>
  <r>
    <x v="169"/>
    <x v="0"/>
    <n v="12"/>
    <x v="11"/>
    <x v="5"/>
    <n v="15"/>
    <x v="2"/>
    <x v="1"/>
    <n v="57"/>
    <x v="5"/>
    <x v="1"/>
    <x v="2"/>
    <n v="44"/>
    <n v="48.84"/>
    <n v="732.6"/>
    <n v="660"/>
    <n v="72.600000000000023"/>
  </r>
  <r>
    <x v="169"/>
    <x v="0"/>
    <n v="12"/>
    <x v="11"/>
    <x v="14"/>
    <n v="1"/>
    <x v="2"/>
    <x v="0"/>
    <n v="0"/>
    <x v="14"/>
    <x v="3"/>
    <x v="0"/>
    <n v="148"/>
    <n v="164.28"/>
    <n v="164.28"/>
    <n v="148"/>
    <n v="16.28"/>
  </r>
  <r>
    <x v="170"/>
    <x v="0"/>
    <n v="12"/>
    <x v="11"/>
    <x v="3"/>
    <n v="8"/>
    <x v="2"/>
    <x v="0"/>
    <n v="16"/>
    <x v="3"/>
    <x v="3"/>
    <x v="1"/>
    <n v="112"/>
    <n v="122.08"/>
    <n v="976.64"/>
    <n v="896"/>
    <n v="80.639999999999986"/>
  </r>
  <r>
    <x v="171"/>
    <x v="0"/>
    <n v="12"/>
    <x v="11"/>
    <x v="16"/>
    <n v="14"/>
    <x v="2"/>
    <x v="0"/>
    <n v="74"/>
    <x v="16"/>
    <x v="2"/>
    <x v="1"/>
    <n v="76"/>
    <n v="82.08"/>
    <n v="1149.1199999999999"/>
    <n v="1064"/>
    <n v="85.119999999999891"/>
  </r>
  <r>
    <x v="172"/>
    <x v="0"/>
    <n v="12"/>
    <x v="11"/>
    <x v="15"/>
    <n v="4"/>
    <x v="2"/>
    <x v="0"/>
    <n v="29"/>
    <x v="15"/>
    <x v="2"/>
    <x v="0"/>
    <n v="120"/>
    <n v="162"/>
    <n v="648"/>
    <n v="480"/>
    <n v="168"/>
  </r>
  <r>
    <x v="173"/>
    <x v="0"/>
    <n v="12"/>
    <x v="11"/>
    <x v="4"/>
    <n v="2"/>
    <x v="2"/>
    <x v="1"/>
    <n v="29"/>
    <x v="4"/>
    <x v="1"/>
    <x v="1"/>
    <n v="71"/>
    <n v="80.94"/>
    <n v="161.88"/>
    <n v="142"/>
    <n v="19.879999999999995"/>
  </r>
  <r>
    <x v="173"/>
    <x v="0"/>
    <n v="12"/>
    <x v="11"/>
    <x v="22"/>
    <n v="8"/>
    <x v="1"/>
    <x v="1"/>
    <n v="73"/>
    <x v="22"/>
    <x v="0"/>
    <x v="0"/>
    <n v="121"/>
    <n v="141.57"/>
    <n v="1132.56"/>
    <n v="968"/>
    <n v="164.55999999999995"/>
  </r>
  <r>
    <x v="174"/>
    <x v="0"/>
    <n v="12"/>
    <x v="11"/>
    <x v="17"/>
    <n v="12"/>
    <x v="2"/>
    <x v="0"/>
    <n v="10"/>
    <x v="17"/>
    <x v="0"/>
    <x v="0"/>
    <n v="141"/>
    <n v="149.46"/>
    <n v="1793.52"/>
    <n v="1692"/>
    <n v="101.51999999999998"/>
  </r>
  <r>
    <x v="174"/>
    <x v="0"/>
    <n v="12"/>
    <x v="11"/>
    <x v="26"/>
    <n v="3"/>
    <x v="0"/>
    <x v="0"/>
    <n v="68"/>
    <x v="26"/>
    <x v="4"/>
    <x v="2"/>
    <n v="47"/>
    <n v="53.11"/>
    <n v="159.32999999999998"/>
    <n v="141"/>
    <n v="18.329999999999984"/>
  </r>
  <r>
    <x v="174"/>
    <x v="0"/>
    <n v="12"/>
    <x v="11"/>
    <x v="31"/>
    <n v="10"/>
    <x v="1"/>
    <x v="0"/>
    <n v="45"/>
    <x v="31"/>
    <x v="3"/>
    <x v="2"/>
    <n v="44"/>
    <n v="48.4"/>
    <n v="484"/>
    <n v="440"/>
    <n v="44"/>
  </r>
  <r>
    <x v="175"/>
    <x v="0"/>
    <n v="12"/>
    <x v="11"/>
    <x v="35"/>
    <n v="14"/>
    <x v="2"/>
    <x v="0"/>
    <n v="50"/>
    <x v="35"/>
    <x v="3"/>
    <x v="1"/>
    <n v="73"/>
    <n v="94.17"/>
    <n v="1318.38"/>
    <n v="1022"/>
    <n v="296.38000000000011"/>
  </r>
  <r>
    <x v="176"/>
    <x v="0"/>
    <n v="12"/>
    <x v="11"/>
    <x v="42"/>
    <n v="10"/>
    <x v="1"/>
    <x v="1"/>
    <n v="20"/>
    <x v="42"/>
    <x v="4"/>
    <x v="3"/>
    <n v="18"/>
    <n v="24.66"/>
    <n v="246.6"/>
    <n v="180"/>
    <n v="66.599999999999994"/>
  </r>
  <r>
    <x v="177"/>
    <x v="0"/>
    <n v="12"/>
    <x v="11"/>
    <x v="15"/>
    <n v="8"/>
    <x v="0"/>
    <x v="1"/>
    <n v="7"/>
    <x v="15"/>
    <x v="2"/>
    <x v="0"/>
    <n v="120"/>
    <n v="162"/>
    <n v="1296"/>
    <n v="960"/>
    <n v="336"/>
  </r>
  <r>
    <x v="177"/>
    <x v="0"/>
    <n v="12"/>
    <x v="11"/>
    <x v="43"/>
    <n v="8"/>
    <x v="0"/>
    <x v="0"/>
    <n v="63"/>
    <x v="43"/>
    <x v="4"/>
    <x v="1"/>
    <n v="90"/>
    <n v="96.3"/>
    <n v="770.4"/>
    <n v="720"/>
    <n v="50.399999999999977"/>
  </r>
  <r>
    <x v="178"/>
    <x v="0"/>
    <n v="12"/>
    <x v="11"/>
    <x v="41"/>
    <n v="14"/>
    <x v="1"/>
    <x v="1"/>
    <n v="9"/>
    <x v="41"/>
    <x v="2"/>
    <x v="0"/>
    <n v="138"/>
    <n v="173.88"/>
    <n v="2434.3199999999997"/>
    <n v="1932"/>
    <n v="502.31999999999971"/>
  </r>
  <r>
    <x v="179"/>
    <x v="0"/>
    <n v="12"/>
    <x v="11"/>
    <x v="26"/>
    <n v="14"/>
    <x v="2"/>
    <x v="1"/>
    <n v="19"/>
    <x v="26"/>
    <x v="4"/>
    <x v="2"/>
    <n v="47"/>
    <n v="53.11"/>
    <n v="743.54"/>
    <n v="658"/>
    <n v="85.539999999999964"/>
  </r>
  <r>
    <x v="180"/>
    <x v="0"/>
    <n v="12"/>
    <x v="11"/>
    <x v="26"/>
    <n v="6"/>
    <x v="2"/>
    <x v="1"/>
    <n v="46"/>
    <x v="26"/>
    <x v="4"/>
    <x v="2"/>
    <n v="47"/>
    <n v="53.11"/>
    <n v="318.65999999999997"/>
    <n v="282"/>
    <n v="36.659999999999968"/>
  </r>
  <r>
    <x v="181"/>
    <x v="0"/>
    <n v="12"/>
    <x v="11"/>
    <x v="14"/>
    <n v="13"/>
    <x v="1"/>
    <x v="0"/>
    <n v="86"/>
    <x v="14"/>
    <x v="3"/>
    <x v="0"/>
    <n v="148"/>
    <n v="164.28"/>
    <n v="2135.64"/>
    <n v="1924"/>
    <n v="211.63999999999987"/>
  </r>
  <r>
    <x v="182"/>
    <x v="1"/>
    <n v="1"/>
    <x v="0"/>
    <x v="22"/>
    <n v="1"/>
    <x v="0"/>
    <x v="1"/>
    <n v="19"/>
    <x v="22"/>
    <x v="0"/>
    <x v="0"/>
    <n v="121"/>
    <n v="141.57"/>
    <n v="141.57"/>
    <n v="121"/>
    <n v="20.569999999999993"/>
  </r>
  <r>
    <x v="183"/>
    <x v="1"/>
    <n v="1"/>
    <x v="0"/>
    <x v="14"/>
    <n v="7"/>
    <x v="2"/>
    <x v="1"/>
    <n v="81"/>
    <x v="14"/>
    <x v="3"/>
    <x v="0"/>
    <n v="148"/>
    <n v="164.28"/>
    <n v="1149.96"/>
    <n v="1036"/>
    <n v="113.96000000000004"/>
  </r>
  <r>
    <x v="183"/>
    <x v="1"/>
    <n v="1"/>
    <x v="0"/>
    <x v="18"/>
    <n v="2"/>
    <x v="1"/>
    <x v="1"/>
    <n v="51"/>
    <x v="18"/>
    <x v="3"/>
    <x v="3"/>
    <n v="12"/>
    <n v="15.719999999999999"/>
    <n v="31.439999999999998"/>
    <n v="24"/>
    <n v="7.4399999999999977"/>
  </r>
  <r>
    <x v="183"/>
    <x v="1"/>
    <n v="1"/>
    <x v="0"/>
    <x v="38"/>
    <n v="1"/>
    <x v="2"/>
    <x v="1"/>
    <n v="46"/>
    <x v="38"/>
    <x v="4"/>
    <x v="1"/>
    <n v="95"/>
    <n v="119.7"/>
    <n v="119.7"/>
    <n v="95"/>
    <n v="24.700000000000003"/>
  </r>
  <r>
    <x v="184"/>
    <x v="1"/>
    <n v="1"/>
    <x v="0"/>
    <x v="28"/>
    <n v="9"/>
    <x v="2"/>
    <x v="1"/>
    <n v="2"/>
    <x v="28"/>
    <x v="2"/>
    <x v="1"/>
    <n v="67"/>
    <n v="83.08"/>
    <n v="747.72"/>
    <n v="603"/>
    <n v="144.72000000000003"/>
  </r>
  <r>
    <x v="185"/>
    <x v="1"/>
    <n v="1"/>
    <x v="0"/>
    <x v="35"/>
    <n v="8"/>
    <x v="2"/>
    <x v="0"/>
    <n v="27"/>
    <x v="35"/>
    <x v="3"/>
    <x v="1"/>
    <n v="73"/>
    <n v="94.17"/>
    <n v="753.36"/>
    <n v="584"/>
    <n v="169.36"/>
  </r>
  <r>
    <x v="185"/>
    <x v="1"/>
    <n v="1"/>
    <x v="0"/>
    <x v="26"/>
    <n v="1"/>
    <x v="1"/>
    <x v="0"/>
    <n v="40"/>
    <x v="26"/>
    <x v="4"/>
    <x v="2"/>
    <n v="47"/>
    <n v="53.11"/>
    <n v="53.11"/>
    <n v="47"/>
    <n v="6.1099999999999994"/>
  </r>
  <r>
    <x v="186"/>
    <x v="1"/>
    <n v="1"/>
    <x v="0"/>
    <x v="25"/>
    <n v="12"/>
    <x v="2"/>
    <x v="0"/>
    <n v="77"/>
    <x v="25"/>
    <x v="4"/>
    <x v="1"/>
    <n v="89"/>
    <n v="117.48"/>
    <n v="1409.76"/>
    <n v="1068"/>
    <n v="341.76"/>
  </r>
  <r>
    <x v="187"/>
    <x v="1"/>
    <n v="1"/>
    <x v="0"/>
    <x v="19"/>
    <n v="14"/>
    <x v="1"/>
    <x v="0"/>
    <n v="33"/>
    <x v="19"/>
    <x v="4"/>
    <x v="2"/>
    <n v="55"/>
    <n v="58.3"/>
    <n v="816.19999999999993"/>
    <n v="770"/>
    <n v="46.199999999999932"/>
  </r>
  <r>
    <x v="188"/>
    <x v="1"/>
    <n v="1"/>
    <x v="0"/>
    <x v="25"/>
    <n v="2"/>
    <x v="2"/>
    <x v="0"/>
    <n v="2"/>
    <x v="25"/>
    <x v="4"/>
    <x v="1"/>
    <n v="89"/>
    <n v="117.48"/>
    <n v="234.96"/>
    <n v="178"/>
    <n v="56.960000000000008"/>
  </r>
  <r>
    <x v="189"/>
    <x v="1"/>
    <n v="1"/>
    <x v="0"/>
    <x v="40"/>
    <n v="6"/>
    <x v="1"/>
    <x v="0"/>
    <n v="59"/>
    <x v="40"/>
    <x v="3"/>
    <x v="0"/>
    <n v="150"/>
    <n v="210"/>
    <n v="1260"/>
    <n v="900"/>
    <n v="360"/>
  </r>
  <r>
    <x v="190"/>
    <x v="1"/>
    <n v="1"/>
    <x v="0"/>
    <x v="31"/>
    <n v="14"/>
    <x v="2"/>
    <x v="0"/>
    <n v="6"/>
    <x v="31"/>
    <x v="3"/>
    <x v="2"/>
    <n v="44"/>
    <n v="48.4"/>
    <n v="677.6"/>
    <n v="616"/>
    <n v="61.600000000000023"/>
  </r>
  <r>
    <x v="191"/>
    <x v="1"/>
    <n v="1"/>
    <x v="0"/>
    <x v="22"/>
    <n v="10"/>
    <x v="2"/>
    <x v="1"/>
    <n v="30"/>
    <x v="22"/>
    <x v="0"/>
    <x v="0"/>
    <n v="121"/>
    <n v="141.57"/>
    <n v="1415.6999999999998"/>
    <n v="1210"/>
    <n v="205.69999999999982"/>
  </r>
  <r>
    <x v="192"/>
    <x v="1"/>
    <n v="1"/>
    <x v="0"/>
    <x v="13"/>
    <n v="11"/>
    <x v="1"/>
    <x v="1"/>
    <n v="32"/>
    <x v="13"/>
    <x v="3"/>
    <x v="1"/>
    <n v="112"/>
    <n v="146.72"/>
    <n v="1613.92"/>
    <n v="1232"/>
    <n v="381.92000000000007"/>
  </r>
  <r>
    <x v="193"/>
    <x v="1"/>
    <n v="1"/>
    <x v="0"/>
    <x v="23"/>
    <n v="4"/>
    <x v="1"/>
    <x v="0"/>
    <n v="6"/>
    <x v="23"/>
    <x v="2"/>
    <x v="1"/>
    <n v="90"/>
    <n v="115.2"/>
    <n v="460.8"/>
    <n v="360"/>
    <n v="100.80000000000001"/>
  </r>
  <r>
    <x v="194"/>
    <x v="1"/>
    <n v="1"/>
    <x v="0"/>
    <x v="11"/>
    <n v="9"/>
    <x v="0"/>
    <x v="1"/>
    <n v="37"/>
    <x v="11"/>
    <x v="1"/>
    <x v="1"/>
    <n v="83"/>
    <n v="94.62"/>
    <n v="851.58"/>
    <n v="747"/>
    <n v="104.58000000000004"/>
  </r>
  <r>
    <x v="195"/>
    <x v="1"/>
    <n v="1"/>
    <x v="0"/>
    <x v="32"/>
    <n v="2"/>
    <x v="2"/>
    <x v="1"/>
    <n v="32"/>
    <x v="32"/>
    <x v="0"/>
    <x v="0"/>
    <n v="126"/>
    <n v="162.54"/>
    <n v="325.08"/>
    <n v="252"/>
    <n v="73.079999999999984"/>
  </r>
  <r>
    <x v="195"/>
    <x v="1"/>
    <n v="1"/>
    <x v="0"/>
    <x v="13"/>
    <n v="7"/>
    <x v="1"/>
    <x v="0"/>
    <n v="28"/>
    <x v="13"/>
    <x v="3"/>
    <x v="1"/>
    <n v="112"/>
    <n v="146.72"/>
    <n v="1027.04"/>
    <n v="784"/>
    <n v="243.03999999999996"/>
  </r>
  <r>
    <x v="196"/>
    <x v="1"/>
    <n v="1"/>
    <x v="0"/>
    <x v="1"/>
    <n v="6"/>
    <x v="1"/>
    <x v="1"/>
    <n v="29"/>
    <x v="1"/>
    <x v="1"/>
    <x v="1"/>
    <n v="98"/>
    <n v="103.88"/>
    <n v="623.28"/>
    <n v="588"/>
    <n v="35.279999999999973"/>
  </r>
  <r>
    <x v="197"/>
    <x v="1"/>
    <n v="1"/>
    <x v="0"/>
    <x v="29"/>
    <n v="5"/>
    <x v="0"/>
    <x v="1"/>
    <n v="50"/>
    <x v="29"/>
    <x v="1"/>
    <x v="1"/>
    <n v="105"/>
    <n v="142.80000000000001"/>
    <n v="714"/>
    <n v="525"/>
    <n v="189"/>
  </r>
  <r>
    <x v="197"/>
    <x v="1"/>
    <n v="1"/>
    <x v="0"/>
    <x v="15"/>
    <n v="8"/>
    <x v="2"/>
    <x v="0"/>
    <n v="1"/>
    <x v="15"/>
    <x v="2"/>
    <x v="0"/>
    <n v="120"/>
    <n v="162"/>
    <n v="1296"/>
    <n v="960"/>
    <n v="336"/>
  </r>
  <r>
    <x v="198"/>
    <x v="1"/>
    <n v="1"/>
    <x v="0"/>
    <x v="27"/>
    <n v="15"/>
    <x v="1"/>
    <x v="0"/>
    <n v="61"/>
    <x v="27"/>
    <x v="4"/>
    <x v="0"/>
    <n v="148"/>
    <n v="201.28"/>
    <n v="3019.2"/>
    <n v="2220"/>
    <n v="799.19999999999982"/>
  </r>
  <r>
    <x v="199"/>
    <x v="1"/>
    <n v="1"/>
    <x v="0"/>
    <x v="39"/>
    <n v="14"/>
    <x v="2"/>
    <x v="1"/>
    <n v="88"/>
    <x v="39"/>
    <x v="3"/>
    <x v="0"/>
    <n v="134"/>
    <n v="156.78"/>
    <n v="2194.92"/>
    <n v="1876"/>
    <n v="318.92000000000007"/>
  </r>
  <r>
    <x v="200"/>
    <x v="1"/>
    <n v="1"/>
    <x v="0"/>
    <x v="20"/>
    <n v="11"/>
    <x v="2"/>
    <x v="0"/>
    <n v="7"/>
    <x v="20"/>
    <x v="3"/>
    <x v="3"/>
    <n v="13"/>
    <n v="16.64"/>
    <n v="183.04000000000002"/>
    <n v="143"/>
    <n v="40.04000000000002"/>
  </r>
  <r>
    <x v="201"/>
    <x v="1"/>
    <n v="1"/>
    <x v="0"/>
    <x v="17"/>
    <n v="6"/>
    <x v="1"/>
    <x v="1"/>
    <n v="14"/>
    <x v="17"/>
    <x v="0"/>
    <x v="0"/>
    <n v="141"/>
    <n v="149.46"/>
    <n v="896.76"/>
    <n v="846"/>
    <n v="50.759999999999991"/>
  </r>
  <r>
    <x v="201"/>
    <x v="1"/>
    <n v="1"/>
    <x v="0"/>
    <x v="41"/>
    <n v="9"/>
    <x v="2"/>
    <x v="1"/>
    <n v="80"/>
    <x v="41"/>
    <x v="2"/>
    <x v="0"/>
    <n v="138"/>
    <n v="173.88"/>
    <n v="1564.92"/>
    <n v="1242"/>
    <n v="322.92000000000007"/>
  </r>
  <r>
    <x v="202"/>
    <x v="1"/>
    <n v="2"/>
    <x v="1"/>
    <x v="7"/>
    <n v="9"/>
    <x v="2"/>
    <x v="1"/>
    <n v="12"/>
    <x v="7"/>
    <x v="1"/>
    <x v="0"/>
    <n v="133"/>
    <n v="155.61000000000001"/>
    <n v="1400.4900000000002"/>
    <n v="1197"/>
    <n v="203.49000000000024"/>
  </r>
  <r>
    <x v="203"/>
    <x v="1"/>
    <n v="2"/>
    <x v="1"/>
    <x v="13"/>
    <n v="8"/>
    <x v="2"/>
    <x v="0"/>
    <n v="41"/>
    <x v="13"/>
    <x v="3"/>
    <x v="1"/>
    <n v="112"/>
    <n v="146.72"/>
    <n v="1173.76"/>
    <n v="896"/>
    <n v="277.76"/>
  </r>
  <r>
    <x v="204"/>
    <x v="1"/>
    <n v="2"/>
    <x v="1"/>
    <x v="30"/>
    <n v="6"/>
    <x v="2"/>
    <x v="1"/>
    <n v="4"/>
    <x v="30"/>
    <x v="3"/>
    <x v="3"/>
    <n v="37"/>
    <n v="49.21"/>
    <n v="295.26"/>
    <n v="222"/>
    <n v="73.259999999999991"/>
  </r>
  <r>
    <x v="205"/>
    <x v="1"/>
    <n v="2"/>
    <x v="1"/>
    <x v="29"/>
    <n v="6"/>
    <x v="2"/>
    <x v="1"/>
    <n v="50"/>
    <x v="29"/>
    <x v="1"/>
    <x v="1"/>
    <n v="105"/>
    <n v="142.80000000000001"/>
    <n v="856.80000000000007"/>
    <n v="630"/>
    <n v="226.80000000000007"/>
  </r>
  <r>
    <x v="206"/>
    <x v="1"/>
    <n v="2"/>
    <x v="1"/>
    <x v="7"/>
    <n v="11"/>
    <x v="1"/>
    <x v="1"/>
    <n v="45"/>
    <x v="7"/>
    <x v="1"/>
    <x v="0"/>
    <n v="133"/>
    <n v="155.61000000000001"/>
    <n v="1711.71"/>
    <n v="1463"/>
    <n v="248.71000000000004"/>
  </r>
  <r>
    <x v="206"/>
    <x v="1"/>
    <n v="2"/>
    <x v="1"/>
    <x v="5"/>
    <n v="3"/>
    <x v="1"/>
    <x v="1"/>
    <n v="33"/>
    <x v="5"/>
    <x v="1"/>
    <x v="2"/>
    <n v="44"/>
    <n v="48.84"/>
    <n v="146.52000000000001"/>
    <n v="132"/>
    <n v="14.52000000000001"/>
  </r>
  <r>
    <x v="207"/>
    <x v="1"/>
    <n v="2"/>
    <x v="1"/>
    <x v="25"/>
    <n v="14"/>
    <x v="1"/>
    <x v="0"/>
    <n v="52"/>
    <x v="25"/>
    <x v="4"/>
    <x v="1"/>
    <n v="89"/>
    <n v="117.48"/>
    <n v="1644.72"/>
    <n v="1246"/>
    <n v="398.72"/>
  </r>
  <r>
    <x v="208"/>
    <x v="1"/>
    <n v="2"/>
    <x v="1"/>
    <x v="14"/>
    <n v="13"/>
    <x v="2"/>
    <x v="1"/>
    <n v="60"/>
    <x v="14"/>
    <x v="3"/>
    <x v="0"/>
    <n v="148"/>
    <n v="164.28"/>
    <n v="2135.64"/>
    <n v="1924"/>
    <n v="211.63999999999987"/>
  </r>
  <r>
    <x v="209"/>
    <x v="1"/>
    <n v="2"/>
    <x v="1"/>
    <x v="42"/>
    <n v="8"/>
    <x v="1"/>
    <x v="1"/>
    <n v="55"/>
    <x v="42"/>
    <x v="4"/>
    <x v="3"/>
    <n v="18"/>
    <n v="24.66"/>
    <n v="197.28"/>
    <n v="144"/>
    <n v="53.28"/>
  </r>
  <r>
    <x v="209"/>
    <x v="1"/>
    <n v="2"/>
    <x v="1"/>
    <x v="33"/>
    <n v="3"/>
    <x v="2"/>
    <x v="1"/>
    <n v="72"/>
    <x v="33"/>
    <x v="4"/>
    <x v="3"/>
    <n v="37"/>
    <n v="41.81"/>
    <n v="125.43"/>
    <n v="111"/>
    <n v="14.430000000000007"/>
  </r>
  <r>
    <x v="210"/>
    <x v="1"/>
    <n v="2"/>
    <x v="1"/>
    <x v="25"/>
    <n v="1"/>
    <x v="1"/>
    <x v="1"/>
    <n v="58"/>
    <x v="25"/>
    <x v="4"/>
    <x v="1"/>
    <n v="89"/>
    <n v="117.48"/>
    <n v="117.48"/>
    <n v="89"/>
    <n v="28.480000000000004"/>
  </r>
  <r>
    <x v="211"/>
    <x v="1"/>
    <n v="2"/>
    <x v="1"/>
    <x v="29"/>
    <n v="13"/>
    <x v="1"/>
    <x v="1"/>
    <n v="30"/>
    <x v="29"/>
    <x v="1"/>
    <x v="1"/>
    <n v="105"/>
    <n v="142.80000000000001"/>
    <n v="1856.4"/>
    <n v="1365"/>
    <n v="491.40000000000009"/>
  </r>
  <r>
    <x v="212"/>
    <x v="1"/>
    <n v="2"/>
    <x v="1"/>
    <x v="35"/>
    <n v="6"/>
    <x v="2"/>
    <x v="1"/>
    <n v="39"/>
    <x v="35"/>
    <x v="3"/>
    <x v="1"/>
    <n v="73"/>
    <n v="94.17"/>
    <n v="565.02"/>
    <n v="438"/>
    <n v="127.01999999999998"/>
  </r>
  <r>
    <x v="213"/>
    <x v="1"/>
    <n v="2"/>
    <x v="1"/>
    <x v="3"/>
    <n v="6"/>
    <x v="1"/>
    <x v="0"/>
    <n v="28"/>
    <x v="3"/>
    <x v="3"/>
    <x v="1"/>
    <n v="112"/>
    <n v="122.08"/>
    <n v="732.48"/>
    <n v="672"/>
    <n v="60.480000000000018"/>
  </r>
  <r>
    <x v="213"/>
    <x v="1"/>
    <n v="2"/>
    <x v="1"/>
    <x v="20"/>
    <n v="15"/>
    <x v="1"/>
    <x v="1"/>
    <n v="72"/>
    <x v="20"/>
    <x v="3"/>
    <x v="3"/>
    <n v="13"/>
    <n v="16.64"/>
    <n v="249.60000000000002"/>
    <n v="195"/>
    <n v="54.600000000000023"/>
  </r>
  <r>
    <x v="213"/>
    <x v="1"/>
    <n v="2"/>
    <x v="1"/>
    <x v="43"/>
    <n v="8"/>
    <x v="2"/>
    <x v="0"/>
    <n v="25"/>
    <x v="43"/>
    <x v="4"/>
    <x v="1"/>
    <n v="90"/>
    <n v="96.3"/>
    <n v="770.4"/>
    <n v="720"/>
    <n v="50.399999999999977"/>
  </r>
  <r>
    <x v="214"/>
    <x v="1"/>
    <n v="2"/>
    <x v="1"/>
    <x v="35"/>
    <n v="7"/>
    <x v="2"/>
    <x v="1"/>
    <n v="29"/>
    <x v="35"/>
    <x v="3"/>
    <x v="1"/>
    <n v="73"/>
    <n v="94.17"/>
    <n v="659.19"/>
    <n v="511"/>
    <n v="148.19000000000005"/>
  </r>
  <r>
    <x v="214"/>
    <x v="1"/>
    <n v="2"/>
    <x v="1"/>
    <x v="7"/>
    <n v="15"/>
    <x v="2"/>
    <x v="0"/>
    <n v="66"/>
    <x v="7"/>
    <x v="1"/>
    <x v="0"/>
    <n v="133"/>
    <n v="155.61000000000001"/>
    <n v="2334.15"/>
    <n v="1995"/>
    <n v="339.15000000000009"/>
  </r>
  <r>
    <x v="215"/>
    <x v="1"/>
    <n v="2"/>
    <x v="1"/>
    <x v="12"/>
    <n v="15"/>
    <x v="2"/>
    <x v="1"/>
    <n v="24"/>
    <x v="12"/>
    <x v="2"/>
    <x v="1"/>
    <n v="67"/>
    <n v="85.76"/>
    <n v="1286.4000000000001"/>
    <n v="1005"/>
    <n v="281.40000000000009"/>
  </r>
  <r>
    <x v="216"/>
    <x v="1"/>
    <n v="3"/>
    <x v="2"/>
    <x v="42"/>
    <n v="13"/>
    <x v="0"/>
    <x v="0"/>
    <n v="74"/>
    <x v="42"/>
    <x v="4"/>
    <x v="3"/>
    <n v="18"/>
    <n v="24.66"/>
    <n v="320.58"/>
    <n v="234"/>
    <n v="86.579999999999984"/>
  </r>
  <r>
    <x v="217"/>
    <x v="1"/>
    <n v="3"/>
    <x v="2"/>
    <x v="5"/>
    <n v="2"/>
    <x v="2"/>
    <x v="1"/>
    <n v="13"/>
    <x v="5"/>
    <x v="1"/>
    <x v="2"/>
    <n v="44"/>
    <n v="48.84"/>
    <n v="97.68"/>
    <n v="88"/>
    <n v="9.6800000000000068"/>
  </r>
  <r>
    <x v="218"/>
    <x v="1"/>
    <n v="3"/>
    <x v="2"/>
    <x v="4"/>
    <n v="1"/>
    <x v="2"/>
    <x v="1"/>
    <n v="79"/>
    <x v="4"/>
    <x v="1"/>
    <x v="1"/>
    <n v="71"/>
    <n v="80.94"/>
    <n v="80.94"/>
    <n v="71"/>
    <n v="9.9399999999999977"/>
  </r>
  <r>
    <x v="219"/>
    <x v="1"/>
    <n v="3"/>
    <x v="2"/>
    <x v="16"/>
    <n v="6"/>
    <x v="2"/>
    <x v="0"/>
    <n v="88"/>
    <x v="16"/>
    <x v="2"/>
    <x v="1"/>
    <n v="76"/>
    <n v="82.08"/>
    <n v="492.48"/>
    <n v="456"/>
    <n v="36.480000000000018"/>
  </r>
  <r>
    <x v="220"/>
    <x v="1"/>
    <n v="3"/>
    <x v="2"/>
    <x v="27"/>
    <n v="3"/>
    <x v="2"/>
    <x v="0"/>
    <n v="7"/>
    <x v="27"/>
    <x v="4"/>
    <x v="0"/>
    <n v="148"/>
    <n v="201.28"/>
    <n v="603.84"/>
    <n v="444"/>
    <n v="159.84000000000003"/>
  </r>
  <r>
    <x v="220"/>
    <x v="1"/>
    <n v="3"/>
    <x v="2"/>
    <x v="5"/>
    <n v="11"/>
    <x v="1"/>
    <x v="1"/>
    <n v="59"/>
    <x v="5"/>
    <x v="1"/>
    <x v="2"/>
    <n v="44"/>
    <n v="48.84"/>
    <n v="537.24"/>
    <n v="484"/>
    <n v="53.240000000000009"/>
  </r>
  <r>
    <x v="221"/>
    <x v="1"/>
    <n v="3"/>
    <x v="2"/>
    <x v="38"/>
    <n v="12"/>
    <x v="0"/>
    <x v="0"/>
    <n v="64"/>
    <x v="38"/>
    <x v="4"/>
    <x v="1"/>
    <n v="95"/>
    <n v="119.7"/>
    <n v="1436.4"/>
    <n v="1140"/>
    <n v="296.40000000000009"/>
  </r>
  <r>
    <x v="222"/>
    <x v="1"/>
    <n v="3"/>
    <x v="2"/>
    <x v="20"/>
    <n v="2"/>
    <x v="2"/>
    <x v="1"/>
    <n v="56"/>
    <x v="20"/>
    <x v="3"/>
    <x v="3"/>
    <n v="13"/>
    <n v="16.64"/>
    <n v="33.28"/>
    <n v="26"/>
    <n v="7.2800000000000011"/>
  </r>
  <r>
    <x v="222"/>
    <x v="1"/>
    <n v="3"/>
    <x v="2"/>
    <x v="42"/>
    <n v="13"/>
    <x v="2"/>
    <x v="0"/>
    <n v="31"/>
    <x v="42"/>
    <x v="4"/>
    <x v="3"/>
    <n v="18"/>
    <n v="24.66"/>
    <n v="320.58"/>
    <n v="234"/>
    <n v="86.579999999999984"/>
  </r>
  <r>
    <x v="223"/>
    <x v="1"/>
    <n v="3"/>
    <x v="2"/>
    <x v="40"/>
    <n v="2"/>
    <x v="1"/>
    <x v="1"/>
    <n v="88"/>
    <x v="40"/>
    <x v="3"/>
    <x v="0"/>
    <n v="150"/>
    <n v="210"/>
    <n v="420"/>
    <n v="300"/>
    <n v="120"/>
  </r>
  <r>
    <x v="223"/>
    <x v="1"/>
    <n v="3"/>
    <x v="2"/>
    <x v="24"/>
    <n v="10"/>
    <x v="2"/>
    <x v="1"/>
    <n v="35"/>
    <x v="24"/>
    <x v="4"/>
    <x v="2"/>
    <n v="48"/>
    <n v="57.120000000000005"/>
    <n v="571.20000000000005"/>
    <n v="480"/>
    <n v="91.200000000000045"/>
  </r>
  <r>
    <x v="224"/>
    <x v="1"/>
    <n v="3"/>
    <x v="2"/>
    <x v="41"/>
    <n v="6"/>
    <x v="0"/>
    <x v="1"/>
    <n v="85"/>
    <x v="41"/>
    <x v="2"/>
    <x v="0"/>
    <n v="138"/>
    <n v="173.88"/>
    <n v="1043.28"/>
    <n v="828"/>
    <n v="215.27999999999997"/>
  </r>
  <r>
    <x v="225"/>
    <x v="1"/>
    <n v="3"/>
    <x v="2"/>
    <x v="25"/>
    <n v="9"/>
    <x v="2"/>
    <x v="1"/>
    <n v="80"/>
    <x v="25"/>
    <x v="4"/>
    <x v="1"/>
    <n v="89"/>
    <n v="117.48"/>
    <n v="1057.32"/>
    <n v="801"/>
    <n v="256.31999999999994"/>
  </r>
  <r>
    <x v="226"/>
    <x v="1"/>
    <n v="3"/>
    <x v="2"/>
    <x v="1"/>
    <n v="2"/>
    <x v="0"/>
    <x v="0"/>
    <n v="76"/>
    <x v="1"/>
    <x v="1"/>
    <x v="1"/>
    <n v="98"/>
    <n v="103.88"/>
    <n v="207.76"/>
    <n v="196"/>
    <n v="11.759999999999991"/>
  </r>
  <r>
    <x v="226"/>
    <x v="1"/>
    <n v="3"/>
    <x v="2"/>
    <x v="27"/>
    <n v="11"/>
    <x v="2"/>
    <x v="0"/>
    <n v="59"/>
    <x v="27"/>
    <x v="4"/>
    <x v="0"/>
    <n v="148"/>
    <n v="201.28"/>
    <n v="2214.08"/>
    <n v="1628"/>
    <n v="586.07999999999993"/>
  </r>
  <r>
    <x v="227"/>
    <x v="1"/>
    <n v="3"/>
    <x v="2"/>
    <x v="25"/>
    <n v="12"/>
    <x v="1"/>
    <x v="0"/>
    <n v="81"/>
    <x v="25"/>
    <x v="4"/>
    <x v="1"/>
    <n v="89"/>
    <n v="117.48"/>
    <n v="1409.76"/>
    <n v="1068"/>
    <n v="341.76"/>
  </r>
  <r>
    <x v="228"/>
    <x v="1"/>
    <n v="3"/>
    <x v="2"/>
    <x v="1"/>
    <n v="13"/>
    <x v="1"/>
    <x v="1"/>
    <n v="23"/>
    <x v="1"/>
    <x v="1"/>
    <x v="1"/>
    <n v="98"/>
    <n v="103.88"/>
    <n v="1350.44"/>
    <n v="1274"/>
    <n v="76.440000000000055"/>
  </r>
  <r>
    <x v="229"/>
    <x v="1"/>
    <n v="4"/>
    <x v="3"/>
    <x v="29"/>
    <n v="2"/>
    <x v="1"/>
    <x v="1"/>
    <n v="88"/>
    <x v="29"/>
    <x v="1"/>
    <x v="1"/>
    <n v="105"/>
    <n v="142.80000000000001"/>
    <n v="285.60000000000002"/>
    <n v="210"/>
    <n v="75.600000000000023"/>
  </r>
  <r>
    <x v="230"/>
    <x v="1"/>
    <n v="4"/>
    <x v="3"/>
    <x v="29"/>
    <n v="3"/>
    <x v="2"/>
    <x v="1"/>
    <n v="60"/>
    <x v="29"/>
    <x v="1"/>
    <x v="1"/>
    <n v="105"/>
    <n v="142.80000000000001"/>
    <n v="428.40000000000003"/>
    <n v="315"/>
    <n v="113.40000000000003"/>
  </r>
  <r>
    <x v="231"/>
    <x v="1"/>
    <n v="4"/>
    <x v="3"/>
    <x v="23"/>
    <n v="2"/>
    <x v="0"/>
    <x v="1"/>
    <n v="13"/>
    <x v="23"/>
    <x v="2"/>
    <x v="1"/>
    <n v="90"/>
    <n v="115.2"/>
    <n v="230.4"/>
    <n v="180"/>
    <n v="50.400000000000006"/>
  </r>
  <r>
    <x v="232"/>
    <x v="1"/>
    <n v="4"/>
    <x v="3"/>
    <x v="42"/>
    <n v="7"/>
    <x v="2"/>
    <x v="0"/>
    <n v="10"/>
    <x v="42"/>
    <x v="4"/>
    <x v="3"/>
    <n v="18"/>
    <n v="24.66"/>
    <n v="172.62"/>
    <n v="126"/>
    <n v="46.620000000000005"/>
  </r>
  <r>
    <x v="233"/>
    <x v="1"/>
    <n v="4"/>
    <x v="3"/>
    <x v="34"/>
    <n v="12"/>
    <x v="0"/>
    <x v="1"/>
    <n v="4"/>
    <x v="34"/>
    <x v="2"/>
    <x v="3"/>
    <n v="37"/>
    <n v="42.55"/>
    <n v="510.59999999999997"/>
    <n v="444"/>
    <n v="66.599999999999966"/>
  </r>
  <r>
    <x v="233"/>
    <x v="1"/>
    <n v="4"/>
    <x v="3"/>
    <x v="29"/>
    <n v="9"/>
    <x v="1"/>
    <x v="0"/>
    <n v="15"/>
    <x v="29"/>
    <x v="1"/>
    <x v="1"/>
    <n v="105"/>
    <n v="142.80000000000001"/>
    <n v="1285.2"/>
    <n v="945"/>
    <n v="340.20000000000005"/>
  </r>
  <r>
    <x v="234"/>
    <x v="1"/>
    <n v="4"/>
    <x v="3"/>
    <x v="20"/>
    <n v="14"/>
    <x v="0"/>
    <x v="0"/>
    <n v="57"/>
    <x v="20"/>
    <x v="3"/>
    <x v="3"/>
    <n v="13"/>
    <n v="16.64"/>
    <n v="232.96"/>
    <n v="182"/>
    <n v="50.960000000000008"/>
  </r>
  <r>
    <x v="235"/>
    <x v="1"/>
    <n v="4"/>
    <x v="3"/>
    <x v="41"/>
    <n v="9"/>
    <x v="2"/>
    <x v="1"/>
    <n v="60"/>
    <x v="41"/>
    <x v="2"/>
    <x v="0"/>
    <n v="138"/>
    <n v="173.88"/>
    <n v="1564.92"/>
    <n v="1242"/>
    <n v="322.92000000000007"/>
  </r>
  <r>
    <x v="236"/>
    <x v="1"/>
    <n v="4"/>
    <x v="3"/>
    <x v="30"/>
    <n v="2"/>
    <x v="0"/>
    <x v="0"/>
    <n v="0"/>
    <x v="30"/>
    <x v="3"/>
    <x v="3"/>
    <n v="37"/>
    <n v="49.21"/>
    <n v="98.42"/>
    <n v="74"/>
    <n v="24.42"/>
  </r>
  <r>
    <x v="236"/>
    <x v="1"/>
    <n v="4"/>
    <x v="3"/>
    <x v="35"/>
    <n v="4"/>
    <x v="2"/>
    <x v="0"/>
    <n v="7"/>
    <x v="35"/>
    <x v="3"/>
    <x v="1"/>
    <n v="73"/>
    <n v="94.17"/>
    <n v="376.68"/>
    <n v="292"/>
    <n v="84.68"/>
  </r>
  <r>
    <x v="237"/>
    <x v="1"/>
    <n v="4"/>
    <x v="3"/>
    <x v="27"/>
    <n v="2"/>
    <x v="2"/>
    <x v="1"/>
    <n v="55"/>
    <x v="27"/>
    <x v="4"/>
    <x v="0"/>
    <n v="148"/>
    <n v="201.28"/>
    <n v="402.56"/>
    <n v="296"/>
    <n v="106.56"/>
  </r>
  <r>
    <x v="237"/>
    <x v="1"/>
    <n v="4"/>
    <x v="3"/>
    <x v="42"/>
    <n v="14"/>
    <x v="1"/>
    <x v="0"/>
    <n v="20"/>
    <x v="42"/>
    <x v="4"/>
    <x v="3"/>
    <n v="18"/>
    <n v="24.66"/>
    <n v="345.24"/>
    <n v="252"/>
    <n v="93.240000000000009"/>
  </r>
  <r>
    <x v="238"/>
    <x v="1"/>
    <n v="4"/>
    <x v="3"/>
    <x v="16"/>
    <n v="15"/>
    <x v="1"/>
    <x v="0"/>
    <n v="3"/>
    <x v="16"/>
    <x v="2"/>
    <x v="1"/>
    <n v="76"/>
    <n v="82.08"/>
    <n v="1231.2"/>
    <n v="1140"/>
    <n v="91.200000000000045"/>
  </r>
  <r>
    <x v="239"/>
    <x v="1"/>
    <n v="4"/>
    <x v="3"/>
    <x v="19"/>
    <n v="4"/>
    <x v="2"/>
    <x v="0"/>
    <n v="85"/>
    <x v="19"/>
    <x v="4"/>
    <x v="2"/>
    <n v="55"/>
    <n v="58.3"/>
    <n v="233.2"/>
    <n v="220"/>
    <n v="13.199999999999989"/>
  </r>
  <r>
    <x v="240"/>
    <x v="1"/>
    <n v="4"/>
    <x v="3"/>
    <x v="5"/>
    <n v="9"/>
    <x v="2"/>
    <x v="1"/>
    <n v="16"/>
    <x v="5"/>
    <x v="1"/>
    <x v="2"/>
    <n v="44"/>
    <n v="48.84"/>
    <n v="439.56000000000006"/>
    <n v="396"/>
    <n v="43.560000000000059"/>
  </r>
  <r>
    <x v="240"/>
    <x v="1"/>
    <n v="4"/>
    <x v="3"/>
    <x v="4"/>
    <n v="8"/>
    <x v="1"/>
    <x v="0"/>
    <n v="61"/>
    <x v="4"/>
    <x v="1"/>
    <x v="1"/>
    <n v="71"/>
    <n v="80.94"/>
    <n v="647.52"/>
    <n v="568"/>
    <n v="79.519999999999982"/>
  </r>
  <r>
    <x v="241"/>
    <x v="1"/>
    <n v="4"/>
    <x v="3"/>
    <x v="24"/>
    <n v="2"/>
    <x v="2"/>
    <x v="1"/>
    <n v="49"/>
    <x v="24"/>
    <x v="4"/>
    <x v="2"/>
    <n v="48"/>
    <n v="57.120000000000005"/>
    <n v="114.24000000000001"/>
    <n v="96"/>
    <n v="18.240000000000009"/>
  </r>
  <r>
    <x v="242"/>
    <x v="1"/>
    <n v="4"/>
    <x v="3"/>
    <x v="13"/>
    <n v="14"/>
    <x v="2"/>
    <x v="1"/>
    <n v="62"/>
    <x v="13"/>
    <x v="3"/>
    <x v="1"/>
    <n v="112"/>
    <n v="146.72"/>
    <n v="2054.08"/>
    <n v="1568"/>
    <n v="486.07999999999993"/>
  </r>
  <r>
    <x v="243"/>
    <x v="1"/>
    <n v="4"/>
    <x v="3"/>
    <x v="20"/>
    <n v="13"/>
    <x v="1"/>
    <x v="0"/>
    <n v="35"/>
    <x v="20"/>
    <x v="3"/>
    <x v="3"/>
    <n v="13"/>
    <n v="16.64"/>
    <n v="216.32"/>
    <n v="169"/>
    <n v="47.319999999999993"/>
  </r>
  <r>
    <x v="243"/>
    <x v="1"/>
    <n v="4"/>
    <x v="3"/>
    <x v="24"/>
    <n v="8"/>
    <x v="2"/>
    <x v="0"/>
    <n v="49"/>
    <x v="24"/>
    <x v="4"/>
    <x v="2"/>
    <n v="48"/>
    <n v="57.120000000000005"/>
    <n v="456.96000000000004"/>
    <n v="384"/>
    <n v="72.960000000000036"/>
  </r>
  <r>
    <x v="244"/>
    <x v="1"/>
    <n v="5"/>
    <x v="4"/>
    <x v="19"/>
    <n v="9"/>
    <x v="0"/>
    <x v="0"/>
    <n v="25"/>
    <x v="19"/>
    <x v="4"/>
    <x v="2"/>
    <n v="55"/>
    <n v="58.3"/>
    <n v="524.69999999999993"/>
    <n v="495"/>
    <n v="29.699999999999932"/>
  </r>
  <r>
    <x v="244"/>
    <x v="1"/>
    <n v="5"/>
    <x v="4"/>
    <x v="38"/>
    <n v="6"/>
    <x v="1"/>
    <x v="0"/>
    <n v="86"/>
    <x v="38"/>
    <x v="4"/>
    <x v="1"/>
    <n v="95"/>
    <n v="119.7"/>
    <n v="718.2"/>
    <n v="570"/>
    <n v="148.20000000000005"/>
  </r>
  <r>
    <x v="245"/>
    <x v="1"/>
    <n v="5"/>
    <x v="4"/>
    <x v="3"/>
    <n v="4"/>
    <x v="1"/>
    <x v="1"/>
    <n v="5"/>
    <x v="3"/>
    <x v="3"/>
    <x v="1"/>
    <n v="112"/>
    <n v="122.08"/>
    <n v="488.32"/>
    <n v="448"/>
    <n v="40.319999999999993"/>
  </r>
  <r>
    <x v="246"/>
    <x v="1"/>
    <n v="5"/>
    <x v="4"/>
    <x v="21"/>
    <n v="10"/>
    <x v="2"/>
    <x v="0"/>
    <n v="4"/>
    <x v="21"/>
    <x v="0"/>
    <x v="2"/>
    <n v="61"/>
    <n v="76.25"/>
    <n v="762.5"/>
    <n v="610"/>
    <n v="152.5"/>
  </r>
  <r>
    <x v="247"/>
    <x v="1"/>
    <n v="5"/>
    <x v="4"/>
    <x v="19"/>
    <n v="7"/>
    <x v="2"/>
    <x v="0"/>
    <n v="7"/>
    <x v="19"/>
    <x v="4"/>
    <x v="2"/>
    <n v="55"/>
    <n v="58.3"/>
    <n v="408.09999999999997"/>
    <n v="385"/>
    <n v="23.099999999999966"/>
  </r>
  <r>
    <x v="248"/>
    <x v="1"/>
    <n v="5"/>
    <x v="4"/>
    <x v="18"/>
    <n v="4"/>
    <x v="1"/>
    <x v="1"/>
    <n v="22"/>
    <x v="18"/>
    <x v="3"/>
    <x v="3"/>
    <n v="12"/>
    <n v="15.719999999999999"/>
    <n v="62.879999999999995"/>
    <n v="48"/>
    <n v="14.879999999999995"/>
  </r>
  <r>
    <x v="248"/>
    <x v="1"/>
    <n v="5"/>
    <x v="4"/>
    <x v="24"/>
    <n v="1"/>
    <x v="1"/>
    <x v="0"/>
    <n v="59"/>
    <x v="24"/>
    <x v="4"/>
    <x v="2"/>
    <n v="48"/>
    <n v="57.120000000000005"/>
    <n v="57.120000000000005"/>
    <n v="48"/>
    <n v="9.1200000000000045"/>
  </r>
  <r>
    <x v="249"/>
    <x v="1"/>
    <n v="5"/>
    <x v="4"/>
    <x v="22"/>
    <n v="7"/>
    <x v="1"/>
    <x v="0"/>
    <n v="72"/>
    <x v="22"/>
    <x v="0"/>
    <x v="0"/>
    <n v="121"/>
    <n v="141.57"/>
    <n v="990.99"/>
    <n v="847"/>
    <n v="143.99"/>
  </r>
  <r>
    <x v="250"/>
    <x v="1"/>
    <n v="5"/>
    <x v="4"/>
    <x v="39"/>
    <n v="12"/>
    <x v="0"/>
    <x v="1"/>
    <n v="58"/>
    <x v="39"/>
    <x v="3"/>
    <x v="0"/>
    <n v="134"/>
    <n v="156.78"/>
    <n v="1881.3600000000001"/>
    <n v="1608"/>
    <n v="273.36000000000013"/>
  </r>
  <r>
    <x v="251"/>
    <x v="1"/>
    <n v="5"/>
    <x v="4"/>
    <x v="37"/>
    <n v="6"/>
    <x v="2"/>
    <x v="0"/>
    <n v="51"/>
    <x v="37"/>
    <x v="1"/>
    <x v="3"/>
    <n v="6"/>
    <n v="7.8599999999999994"/>
    <n v="47.16"/>
    <n v="36"/>
    <n v="11.159999999999997"/>
  </r>
  <r>
    <x v="252"/>
    <x v="1"/>
    <n v="5"/>
    <x v="4"/>
    <x v="31"/>
    <n v="7"/>
    <x v="1"/>
    <x v="1"/>
    <n v="22"/>
    <x v="31"/>
    <x v="3"/>
    <x v="2"/>
    <n v="44"/>
    <n v="48.4"/>
    <n v="338.8"/>
    <n v="308"/>
    <n v="30.800000000000011"/>
  </r>
  <r>
    <x v="253"/>
    <x v="1"/>
    <n v="5"/>
    <x v="4"/>
    <x v="35"/>
    <n v="5"/>
    <x v="2"/>
    <x v="0"/>
    <n v="65"/>
    <x v="35"/>
    <x v="3"/>
    <x v="1"/>
    <n v="73"/>
    <n v="94.17"/>
    <n v="470.85"/>
    <n v="365"/>
    <n v="105.85000000000002"/>
  </r>
  <r>
    <x v="254"/>
    <x v="1"/>
    <n v="5"/>
    <x v="4"/>
    <x v="11"/>
    <n v="14"/>
    <x v="2"/>
    <x v="1"/>
    <n v="58"/>
    <x v="11"/>
    <x v="1"/>
    <x v="1"/>
    <n v="83"/>
    <n v="94.62"/>
    <n v="1324.68"/>
    <n v="1162"/>
    <n v="162.68000000000006"/>
  </r>
  <r>
    <x v="255"/>
    <x v="1"/>
    <n v="5"/>
    <x v="4"/>
    <x v="21"/>
    <n v="5"/>
    <x v="1"/>
    <x v="0"/>
    <n v="19"/>
    <x v="21"/>
    <x v="0"/>
    <x v="2"/>
    <n v="61"/>
    <n v="76.25"/>
    <n v="381.25"/>
    <n v="305"/>
    <n v="76.25"/>
  </r>
  <r>
    <x v="256"/>
    <x v="1"/>
    <n v="5"/>
    <x v="4"/>
    <x v="14"/>
    <n v="13"/>
    <x v="2"/>
    <x v="1"/>
    <n v="11"/>
    <x v="14"/>
    <x v="3"/>
    <x v="0"/>
    <n v="148"/>
    <n v="164.28"/>
    <n v="2135.64"/>
    <n v="1924"/>
    <n v="211.63999999999987"/>
  </r>
  <r>
    <x v="256"/>
    <x v="1"/>
    <n v="5"/>
    <x v="4"/>
    <x v="8"/>
    <n v="13"/>
    <x v="1"/>
    <x v="0"/>
    <n v="10"/>
    <x v="8"/>
    <x v="4"/>
    <x v="1"/>
    <n v="93"/>
    <n v="104.16"/>
    <n v="1354.08"/>
    <n v="1209"/>
    <n v="145.07999999999993"/>
  </r>
  <r>
    <x v="257"/>
    <x v="1"/>
    <n v="5"/>
    <x v="4"/>
    <x v="24"/>
    <n v="8"/>
    <x v="2"/>
    <x v="1"/>
    <n v="1"/>
    <x v="24"/>
    <x v="4"/>
    <x v="2"/>
    <n v="48"/>
    <n v="57.120000000000005"/>
    <n v="456.96000000000004"/>
    <n v="384"/>
    <n v="72.960000000000036"/>
  </r>
  <r>
    <x v="258"/>
    <x v="1"/>
    <n v="5"/>
    <x v="4"/>
    <x v="24"/>
    <n v="4"/>
    <x v="0"/>
    <x v="0"/>
    <n v="69"/>
    <x v="24"/>
    <x v="4"/>
    <x v="2"/>
    <n v="48"/>
    <n v="57.120000000000005"/>
    <n v="228.48000000000002"/>
    <n v="192"/>
    <n v="36.480000000000018"/>
  </r>
  <r>
    <x v="258"/>
    <x v="1"/>
    <n v="5"/>
    <x v="4"/>
    <x v="2"/>
    <n v="8"/>
    <x v="0"/>
    <x v="0"/>
    <n v="8"/>
    <x v="2"/>
    <x v="2"/>
    <x v="1"/>
    <n v="72"/>
    <n v="79.92"/>
    <n v="639.36"/>
    <n v="576"/>
    <n v="63.360000000000014"/>
  </r>
  <r>
    <x v="259"/>
    <x v="1"/>
    <n v="5"/>
    <x v="4"/>
    <x v="16"/>
    <n v="15"/>
    <x v="1"/>
    <x v="1"/>
    <n v="47"/>
    <x v="16"/>
    <x v="2"/>
    <x v="1"/>
    <n v="76"/>
    <n v="82.08"/>
    <n v="1231.2"/>
    <n v="1140"/>
    <n v="91.200000000000045"/>
  </r>
  <r>
    <x v="260"/>
    <x v="1"/>
    <n v="5"/>
    <x v="4"/>
    <x v="18"/>
    <n v="12"/>
    <x v="2"/>
    <x v="0"/>
    <n v="29"/>
    <x v="18"/>
    <x v="3"/>
    <x v="3"/>
    <n v="12"/>
    <n v="15.719999999999999"/>
    <n v="188.64"/>
    <n v="144"/>
    <n v="44.639999999999986"/>
  </r>
  <r>
    <x v="261"/>
    <x v="1"/>
    <n v="5"/>
    <x v="4"/>
    <x v="29"/>
    <n v="7"/>
    <x v="1"/>
    <x v="0"/>
    <n v="31"/>
    <x v="29"/>
    <x v="1"/>
    <x v="1"/>
    <n v="105"/>
    <n v="142.80000000000001"/>
    <n v="999.60000000000014"/>
    <n v="735"/>
    <n v="264.60000000000014"/>
  </r>
  <r>
    <x v="262"/>
    <x v="1"/>
    <n v="5"/>
    <x v="4"/>
    <x v="33"/>
    <n v="2"/>
    <x v="2"/>
    <x v="0"/>
    <n v="6"/>
    <x v="33"/>
    <x v="4"/>
    <x v="3"/>
    <n v="37"/>
    <n v="41.81"/>
    <n v="83.62"/>
    <n v="74"/>
    <n v="9.6200000000000045"/>
  </r>
  <r>
    <x v="262"/>
    <x v="1"/>
    <n v="5"/>
    <x v="4"/>
    <x v="24"/>
    <n v="2"/>
    <x v="1"/>
    <x v="0"/>
    <n v="69"/>
    <x v="24"/>
    <x v="4"/>
    <x v="2"/>
    <n v="48"/>
    <n v="57.120000000000005"/>
    <n v="114.24000000000001"/>
    <n v="96"/>
    <n v="18.240000000000009"/>
  </r>
  <r>
    <x v="263"/>
    <x v="1"/>
    <n v="5"/>
    <x v="4"/>
    <x v="41"/>
    <n v="10"/>
    <x v="0"/>
    <x v="1"/>
    <n v="16"/>
    <x v="41"/>
    <x v="2"/>
    <x v="0"/>
    <n v="138"/>
    <n v="173.88"/>
    <n v="1738.8"/>
    <n v="1380"/>
    <n v="358.79999999999995"/>
  </r>
  <r>
    <x v="263"/>
    <x v="1"/>
    <n v="5"/>
    <x v="4"/>
    <x v="11"/>
    <n v="5"/>
    <x v="0"/>
    <x v="0"/>
    <n v="27"/>
    <x v="11"/>
    <x v="1"/>
    <x v="1"/>
    <n v="83"/>
    <n v="94.62"/>
    <n v="473.1"/>
    <n v="415"/>
    <n v="58.100000000000023"/>
  </r>
  <r>
    <x v="263"/>
    <x v="1"/>
    <n v="5"/>
    <x v="4"/>
    <x v="14"/>
    <n v="9"/>
    <x v="1"/>
    <x v="1"/>
    <n v="54"/>
    <x v="14"/>
    <x v="3"/>
    <x v="0"/>
    <n v="148"/>
    <n v="164.28"/>
    <n v="1478.52"/>
    <n v="1332"/>
    <n v="146.51999999999998"/>
  </r>
  <r>
    <x v="263"/>
    <x v="1"/>
    <n v="5"/>
    <x v="4"/>
    <x v="5"/>
    <n v="12"/>
    <x v="1"/>
    <x v="0"/>
    <n v="21"/>
    <x v="5"/>
    <x v="1"/>
    <x v="2"/>
    <n v="44"/>
    <n v="48.84"/>
    <n v="586.08000000000004"/>
    <n v="528"/>
    <n v="58.080000000000041"/>
  </r>
  <r>
    <x v="263"/>
    <x v="1"/>
    <n v="5"/>
    <x v="4"/>
    <x v="21"/>
    <n v="14"/>
    <x v="2"/>
    <x v="1"/>
    <n v="41"/>
    <x v="21"/>
    <x v="0"/>
    <x v="2"/>
    <n v="61"/>
    <n v="76.25"/>
    <n v="1067.5"/>
    <n v="854"/>
    <n v="213.5"/>
  </r>
  <r>
    <x v="264"/>
    <x v="1"/>
    <n v="5"/>
    <x v="4"/>
    <x v="16"/>
    <n v="9"/>
    <x v="2"/>
    <x v="0"/>
    <n v="40"/>
    <x v="16"/>
    <x v="2"/>
    <x v="1"/>
    <n v="76"/>
    <n v="82.08"/>
    <n v="738.72"/>
    <n v="684"/>
    <n v="54.720000000000027"/>
  </r>
  <r>
    <x v="264"/>
    <x v="1"/>
    <n v="5"/>
    <x v="4"/>
    <x v="7"/>
    <n v="4"/>
    <x v="0"/>
    <x v="1"/>
    <n v="68"/>
    <x v="7"/>
    <x v="1"/>
    <x v="0"/>
    <n v="133"/>
    <n v="155.61000000000001"/>
    <n v="622.44000000000005"/>
    <n v="532"/>
    <n v="90.440000000000055"/>
  </r>
  <r>
    <x v="264"/>
    <x v="1"/>
    <n v="5"/>
    <x v="4"/>
    <x v="38"/>
    <n v="3"/>
    <x v="1"/>
    <x v="1"/>
    <n v="0"/>
    <x v="38"/>
    <x v="4"/>
    <x v="1"/>
    <n v="95"/>
    <n v="119.7"/>
    <n v="359.1"/>
    <n v="285"/>
    <n v="74.100000000000023"/>
  </r>
  <r>
    <x v="265"/>
    <x v="1"/>
    <n v="6"/>
    <x v="5"/>
    <x v="11"/>
    <n v="14"/>
    <x v="1"/>
    <x v="0"/>
    <n v="73"/>
    <x v="11"/>
    <x v="1"/>
    <x v="1"/>
    <n v="83"/>
    <n v="94.62"/>
    <n v="1324.68"/>
    <n v="1162"/>
    <n v="162.68000000000006"/>
  </r>
  <r>
    <x v="266"/>
    <x v="1"/>
    <n v="6"/>
    <x v="5"/>
    <x v="33"/>
    <n v="8"/>
    <x v="0"/>
    <x v="0"/>
    <n v="31"/>
    <x v="33"/>
    <x v="4"/>
    <x v="3"/>
    <n v="37"/>
    <n v="41.81"/>
    <n v="334.48"/>
    <n v="296"/>
    <n v="38.480000000000018"/>
  </r>
  <r>
    <x v="267"/>
    <x v="1"/>
    <n v="6"/>
    <x v="5"/>
    <x v="34"/>
    <n v="13"/>
    <x v="1"/>
    <x v="1"/>
    <n v="36"/>
    <x v="34"/>
    <x v="2"/>
    <x v="3"/>
    <n v="37"/>
    <n v="42.55"/>
    <n v="553.15"/>
    <n v="481"/>
    <n v="72.149999999999977"/>
  </r>
  <r>
    <x v="267"/>
    <x v="1"/>
    <n v="6"/>
    <x v="5"/>
    <x v="32"/>
    <n v="6"/>
    <x v="2"/>
    <x v="0"/>
    <n v="34"/>
    <x v="32"/>
    <x v="0"/>
    <x v="0"/>
    <n v="126"/>
    <n v="162.54"/>
    <n v="975.24"/>
    <n v="756"/>
    <n v="219.24"/>
  </r>
  <r>
    <x v="268"/>
    <x v="1"/>
    <n v="6"/>
    <x v="5"/>
    <x v="42"/>
    <n v="6"/>
    <x v="2"/>
    <x v="1"/>
    <n v="57"/>
    <x v="42"/>
    <x v="4"/>
    <x v="3"/>
    <n v="18"/>
    <n v="24.66"/>
    <n v="147.96"/>
    <n v="108"/>
    <n v="39.960000000000008"/>
  </r>
  <r>
    <x v="269"/>
    <x v="1"/>
    <n v="6"/>
    <x v="5"/>
    <x v="15"/>
    <n v="15"/>
    <x v="0"/>
    <x v="0"/>
    <n v="6"/>
    <x v="15"/>
    <x v="2"/>
    <x v="0"/>
    <n v="120"/>
    <n v="162"/>
    <n v="2430"/>
    <n v="1800"/>
    <n v="630"/>
  </r>
  <r>
    <x v="270"/>
    <x v="1"/>
    <n v="6"/>
    <x v="5"/>
    <x v="26"/>
    <n v="15"/>
    <x v="1"/>
    <x v="1"/>
    <n v="9"/>
    <x v="26"/>
    <x v="4"/>
    <x v="2"/>
    <n v="47"/>
    <n v="53.11"/>
    <n v="796.65"/>
    <n v="705"/>
    <n v="91.649999999999977"/>
  </r>
  <r>
    <x v="271"/>
    <x v="1"/>
    <n v="6"/>
    <x v="5"/>
    <x v="29"/>
    <n v="8"/>
    <x v="2"/>
    <x v="1"/>
    <n v="35"/>
    <x v="29"/>
    <x v="1"/>
    <x v="1"/>
    <n v="105"/>
    <n v="142.80000000000001"/>
    <n v="1142.4000000000001"/>
    <n v="840"/>
    <n v="302.40000000000009"/>
  </r>
  <r>
    <x v="272"/>
    <x v="1"/>
    <n v="6"/>
    <x v="5"/>
    <x v="39"/>
    <n v="14"/>
    <x v="2"/>
    <x v="1"/>
    <n v="7"/>
    <x v="39"/>
    <x v="3"/>
    <x v="0"/>
    <n v="134"/>
    <n v="156.78"/>
    <n v="2194.92"/>
    <n v="1876"/>
    <n v="318.92000000000007"/>
  </r>
  <r>
    <x v="273"/>
    <x v="1"/>
    <n v="6"/>
    <x v="5"/>
    <x v="23"/>
    <n v="10"/>
    <x v="1"/>
    <x v="1"/>
    <n v="38"/>
    <x v="23"/>
    <x v="2"/>
    <x v="1"/>
    <n v="90"/>
    <n v="115.2"/>
    <n v="1152"/>
    <n v="900"/>
    <n v="252"/>
  </r>
  <r>
    <x v="273"/>
    <x v="1"/>
    <n v="6"/>
    <x v="5"/>
    <x v="1"/>
    <n v="4"/>
    <x v="2"/>
    <x v="1"/>
    <n v="57"/>
    <x v="1"/>
    <x v="1"/>
    <x v="1"/>
    <n v="98"/>
    <n v="103.88"/>
    <n v="415.52"/>
    <n v="392"/>
    <n v="23.519999999999982"/>
  </r>
  <r>
    <x v="274"/>
    <x v="1"/>
    <n v="6"/>
    <x v="5"/>
    <x v="5"/>
    <n v="8"/>
    <x v="2"/>
    <x v="0"/>
    <n v="71"/>
    <x v="5"/>
    <x v="1"/>
    <x v="2"/>
    <n v="44"/>
    <n v="48.84"/>
    <n v="390.72"/>
    <n v="352"/>
    <n v="38.720000000000027"/>
  </r>
  <r>
    <x v="275"/>
    <x v="1"/>
    <n v="6"/>
    <x v="5"/>
    <x v="30"/>
    <n v="7"/>
    <x v="2"/>
    <x v="1"/>
    <n v="36"/>
    <x v="30"/>
    <x v="3"/>
    <x v="3"/>
    <n v="37"/>
    <n v="49.21"/>
    <n v="344.47"/>
    <n v="259"/>
    <n v="85.470000000000027"/>
  </r>
  <r>
    <x v="276"/>
    <x v="1"/>
    <n v="6"/>
    <x v="5"/>
    <x v="35"/>
    <n v="7"/>
    <x v="1"/>
    <x v="0"/>
    <n v="18"/>
    <x v="35"/>
    <x v="3"/>
    <x v="1"/>
    <n v="73"/>
    <n v="94.17"/>
    <n v="659.19"/>
    <n v="511"/>
    <n v="148.19000000000005"/>
  </r>
  <r>
    <x v="277"/>
    <x v="1"/>
    <n v="6"/>
    <x v="5"/>
    <x v="19"/>
    <n v="4"/>
    <x v="2"/>
    <x v="1"/>
    <n v="5"/>
    <x v="19"/>
    <x v="4"/>
    <x v="2"/>
    <n v="55"/>
    <n v="58.3"/>
    <n v="233.2"/>
    <n v="220"/>
    <n v="13.199999999999989"/>
  </r>
  <r>
    <x v="277"/>
    <x v="1"/>
    <n v="6"/>
    <x v="5"/>
    <x v="28"/>
    <n v="12"/>
    <x v="2"/>
    <x v="0"/>
    <n v="4"/>
    <x v="28"/>
    <x v="2"/>
    <x v="1"/>
    <n v="67"/>
    <n v="83.08"/>
    <n v="996.96"/>
    <n v="804"/>
    <n v="192.96000000000004"/>
  </r>
  <r>
    <x v="278"/>
    <x v="1"/>
    <n v="7"/>
    <x v="6"/>
    <x v="38"/>
    <n v="15"/>
    <x v="2"/>
    <x v="1"/>
    <n v="80"/>
    <x v="38"/>
    <x v="4"/>
    <x v="1"/>
    <n v="95"/>
    <n v="119.7"/>
    <n v="1795.5"/>
    <n v="1425"/>
    <n v="370.5"/>
  </r>
  <r>
    <x v="279"/>
    <x v="1"/>
    <n v="7"/>
    <x v="6"/>
    <x v="36"/>
    <n v="7"/>
    <x v="2"/>
    <x v="0"/>
    <n v="65"/>
    <x v="36"/>
    <x v="1"/>
    <x v="2"/>
    <n v="43"/>
    <n v="47.730000000000004"/>
    <n v="334.11"/>
    <n v="301"/>
    <n v="33.110000000000014"/>
  </r>
  <r>
    <x v="280"/>
    <x v="1"/>
    <n v="7"/>
    <x v="6"/>
    <x v="10"/>
    <n v="7"/>
    <x v="1"/>
    <x v="1"/>
    <n v="21"/>
    <x v="10"/>
    <x v="0"/>
    <x v="3"/>
    <n v="7"/>
    <n v="8.33"/>
    <n v="58.31"/>
    <n v="49"/>
    <n v="9.3100000000000023"/>
  </r>
  <r>
    <x v="280"/>
    <x v="1"/>
    <n v="7"/>
    <x v="6"/>
    <x v="18"/>
    <n v="8"/>
    <x v="2"/>
    <x v="0"/>
    <n v="38"/>
    <x v="18"/>
    <x v="3"/>
    <x v="3"/>
    <n v="12"/>
    <n v="15.719999999999999"/>
    <n v="125.75999999999999"/>
    <n v="96"/>
    <n v="29.759999999999991"/>
  </r>
  <r>
    <x v="281"/>
    <x v="1"/>
    <n v="7"/>
    <x v="6"/>
    <x v="41"/>
    <n v="2"/>
    <x v="2"/>
    <x v="1"/>
    <n v="25"/>
    <x v="41"/>
    <x v="2"/>
    <x v="0"/>
    <n v="138"/>
    <n v="173.88"/>
    <n v="347.76"/>
    <n v="276"/>
    <n v="71.759999999999991"/>
  </r>
  <r>
    <x v="282"/>
    <x v="1"/>
    <n v="7"/>
    <x v="6"/>
    <x v="30"/>
    <n v="2"/>
    <x v="2"/>
    <x v="0"/>
    <n v="34"/>
    <x v="30"/>
    <x v="3"/>
    <x v="3"/>
    <n v="37"/>
    <n v="49.21"/>
    <n v="98.42"/>
    <n v="74"/>
    <n v="24.42"/>
  </r>
  <r>
    <x v="283"/>
    <x v="1"/>
    <n v="7"/>
    <x v="6"/>
    <x v="25"/>
    <n v="12"/>
    <x v="1"/>
    <x v="1"/>
    <n v="70"/>
    <x v="25"/>
    <x v="4"/>
    <x v="1"/>
    <n v="89"/>
    <n v="117.48"/>
    <n v="1409.76"/>
    <n v="1068"/>
    <n v="341.76"/>
  </r>
  <r>
    <x v="284"/>
    <x v="1"/>
    <n v="7"/>
    <x v="6"/>
    <x v="33"/>
    <n v="12"/>
    <x v="2"/>
    <x v="1"/>
    <n v="28"/>
    <x v="33"/>
    <x v="4"/>
    <x v="3"/>
    <n v="37"/>
    <n v="41.81"/>
    <n v="501.72"/>
    <n v="444"/>
    <n v="57.720000000000027"/>
  </r>
  <r>
    <x v="285"/>
    <x v="1"/>
    <n v="7"/>
    <x v="6"/>
    <x v="10"/>
    <n v="7"/>
    <x v="2"/>
    <x v="0"/>
    <n v="27"/>
    <x v="10"/>
    <x v="0"/>
    <x v="3"/>
    <n v="7"/>
    <n v="8.33"/>
    <n v="58.31"/>
    <n v="49"/>
    <n v="9.3100000000000023"/>
  </r>
  <r>
    <x v="286"/>
    <x v="1"/>
    <n v="7"/>
    <x v="6"/>
    <x v="38"/>
    <n v="9"/>
    <x v="2"/>
    <x v="0"/>
    <n v="4"/>
    <x v="38"/>
    <x v="4"/>
    <x v="1"/>
    <n v="95"/>
    <n v="119.7"/>
    <n v="1077.3"/>
    <n v="855"/>
    <n v="222.29999999999995"/>
  </r>
  <r>
    <x v="287"/>
    <x v="1"/>
    <n v="7"/>
    <x v="6"/>
    <x v="5"/>
    <n v="2"/>
    <x v="1"/>
    <x v="0"/>
    <n v="70"/>
    <x v="5"/>
    <x v="1"/>
    <x v="2"/>
    <n v="44"/>
    <n v="48.84"/>
    <n v="97.68"/>
    <n v="88"/>
    <n v="9.6800000000000068"/>
  </r>
  <r>
    <x v="288"/>
    <x v="1"/>
    <n v="7"/>
    <x v="6"/>
    <x v="41"/>
    <n v="8"/>
    <x v="1"/>
    <x v="1"/>
    <n v="34"/>
    <x v="41"/>
    <x v="2"/>
    <x v="0"/>
    <n v="138"/>
    <n v="173.88"/>
    <n v="1391.04"/>
    <n v="1104"/>
    <n v="287.03999999999996"/>
  </r>
  <r>
    <x v="289"/>
    <x v="1"/>
    <n v="7"/>
    <x v="6"/>
    <x v="14"/>
    <n v="12"/>
    <x v="2"/>
    <x v="0"/>
    <n v="77"/>
    <x v="14"/>
    <x v="3"/>
    <x v="0"/>
    <n v="148"/>
    <n v="164.28"/>
    <n v="1971.3600000000001"/>
    <n v="1776"/>
    <n v="195.36000000000013"/>
  </r>
  <r>
    <x v="290"/>
    <x v="1"/>
    <n v="7"/>
    <x v="6"/>
    <x v="15"/>
    <n v="8"/>
    <x v="0"/>
    <x v="0"/>
    <n v="64"/>
    <x v="15"/>
    <x v="2"/>
    <x v="0"/>
    <n v="120"/>
    <n v="162"/>
    <n v="1296"/>
    <n v="960"/>
    <n v="336"/>
  </r>
  <r>
    <x v="291"/>
    <x v="1"/>
    <n v="7"/>
    <x v="6"/>
    <x v="19"/>
    <n v="6"/>
    <x v="2"/>
    <x v="1"/>
    <n v="59"/>
    <x v="19"/>
    <x v="4"/>
    <x v="2"/>
    <n v="55"/>
    <n v="58.3"/>
    <n v="349.79999999999995"/>
    <n v="330"/>
    <n v="19.799999999999955"/>
  </r>
  <r>
    <x v="292"/>
    <x v="1"/>
    <n v="7"/>
    <x v="6"/>
    <x v="30"/>
    <n v="2"/>
    <x v="1"/>
    <x v="0"/>
    <n v="80"/>
    <x v="30"/>
    <x v="3"/>
    <x v="3"/>
    <n v="37"/>
    <n v="49.21"/>
    <n v="98.42"/>
    <n v="74"/>
    <n v="24.42"/>
  </r>
  <r>
    <x v="293"/>
    <x v="1"/>
    <n v="7"/>
    <x v="6"/>
    <x v="9"/>
    <n v="14"/>
    <x v="2"/>
    <x v="1"/>
    <n v="87"/>
    <x v="9"/>
    <x v="1"/>
    <x v="1"/>
    <n v="75"/>
    <n v="85.5"/>
    <n v="1197"/>
    <n v="1050"/>
    <n v="147"/>
  </r>
  <r>
    <x v="293"/>
    <x v="1"/>
    <n v="7"/>
    <x v="6"/>
    <x v="24"/>
    <n v="1"/>
    <x v="1"/>
    <x v="0"/>
    <n v="77"/>
    <x v="24"/>
    <x v="4"/>
    <x v="2"/>
    <n v="48"/>
    <n v="57.120000000000005"/>
    <n v="57.120000000000005"/>
    <n v="48"/>
    <n v="9.1200000000000045"/>
  </r>
  <r>
    <x v="294"/>
    <x v="1"/>
    <n v="7"/>
    <x v="6"/>
    <x v="16"/>
    <n v="2"/>
    <x v="2"/>
    <x v="1"/>
    <n v="6"/>
    <x v="16"/>
    <x v="2"/>
    <x v="1"/>
    <n v="76"/>
    <n v="82.08"/>
    <n v="164.16"/>
    <n v="152"/>
    <n v="12.159999999999997"/>
  </r>
  <r>
    <x v="294"/>
    <x v="1"/>
    <n v="7"/>
    <x v="6"/>
    <x v="39"/>
    <n v="12"/>
    <x v="2"/>
    <x v="1"/>
    <n v="53"/>
    <x v="39"/>
    <x v="3"/>
    <x v="0"/>
    <n v="134"/>
    <n v="156.78"/>
    <n v="1881.3600000000001"/>
    <n v="1608"/>
    <n v="273.36000000000013"/>
  </r>
  <r>
    <x v="294"/>
    <x v="1"/>
    <n v="7"/>
    <x v="6"/>
    <x v="4"/>
    <n v="13"/>
    <x v="1"/>
    <x v="1"/>
    <n v="76"/>
    <x v="4"/>
    <x v="1"/>
    <x v="1"/>
    <n v="71"/>
    <n v="80.94"/>
    <n v="1052.22"/>
    <n v="923"/>
    <n v="129.22000000000003"/>
  </r>
  <r>
    <x v="295"/>
    <x v="1"/>
    <n v="7"/>
    <x v="6"/>
    <x v="4"/>
    <n v="10"/>
    <x v="1"/>
    <x v="0"/>
    <n v="66"/>
    <x v="4"/>
    <x v="1"/>
    <x v="1"/>
    <n v="71"/>
    <n v="80.94"/>
    <n v="809.4"/>
    <n v="710"/>
    <n v="99.399999999999977"/>
  </r>
  <r>
    <x v="295"/>
    <x v="1"/>
    <n v="7"/>
    <x v="6"/>
    <x v="42"/>
    <n v="1"/>
    <x v="1"/>
    <x v="1"/>
    <n v="72"/>
    <x v="42"/>
    <x v="4"/>
    <x v="3"/>
    <n v="18"/>
    <n v="24.66"/>
    <n v="24.66"/>
    <n v="18"/>
    <n v="6.66"/>
  </r>
  <r>
    <x v="296"/>
    <x v="1"/>
    <n v="8"/>
    <x v="7"/>
    <x v="35"/>
    <n v="5"/>
    <x v="2"/>
    <x v="1"/>
    <n v="65"/>
    <x v="35"/>
    <x v="3"/>
    <x v="1"/>
    <n v="73"/>
    <n v="94.17"/>
    <n v="470.85"/>
    <n v="365"/>
    <n v="105.85000000000002"/>
  </r>
  <r>
    <x v="297"/>
    <x v="1"/>
    <n v="8"/>
    <x v="7"/>
    <x v="20"/>
    <n v="9"/>
    <x v="1"/>
    <x v="0"/>
    <n v="14"/>
    <x v="20"/>
    <x v="3"/>
    <x v="3"/>
    <n v="13"/>
    <n v="16.64"/>
    <n v="149.76"/>
    <n v="117"/>
    <n v="32.759999999999991"/>
  </r>
  <r>
    <x v="298"/>
    <x v="1"/>
    <n v="8"/>
    <x v="7"/>
    <x v="20"/>
    <n v="2"/>
    <x v="2"/>
    <x v="0"/>
    <n v="72"/>
    <x v="20"/>
    <x v="3"/>
    <x v="3"/>
    <n v="13"/>
    <n v="16.64"/>
    <n v="33.28"/>
    <n v="26"/>
    <n v="7.2800000000000011"/>
  </r>
  <r>
    <x v="298"/>
    <x v="1"/>
    <n v="8"/>
    <x v="7"/>
    <x v="25"/>
    <n v="12"/>
    <x v="2"/>
    <x v="1"/>
    <n v="78"/>
    <x v="25"/>
    <x v="4"/>
    <x v="1"/>
    <n v="89"/>
    <n v="117.48"/>
    <n v="1409.76"/>
    <n v="1068"/>
    <n v="341.76"/>
  </r>
  <r>
    <x v="298"/>
    <x v="1"/>
    <n v="8"/>
    <x v="7"/>
    <x v="32"/>
    <n v="11"/>
    <x v="2"/>
    <x v="1"/>
    <n v="65"/>
    <x v="32"/>
    <x v="0"/>
    <x v="0"/>
    <n v="126"/>
    <n v="162.54"/>
    <n v="1787.9399999999998"/>
    <n v="1386"/>
    <n v="401.93999999999983"/>
  </r>
  <r>
    <x v="299"/>
    <x v="1"/>
    <n v="8"/>
    <x v="7"/>
    <x v="27"/>
    <n v="14"/>
    <x v="2"/>
    <x v="1"/>
    <n v="8"/>
    <x v="27"/>
    <x v="4"/>
    <x v="0"/>
    <n v="148"/>
    <n v="201.28"/>
    <n v="2817.92"/>
    <n v="2072"/>
    <n v="745.92000000000007"/>
  </r>
  <r>
    <x v="300"/>
    <x v="1"/>
    <n v="8"/>
    <x v="7"/>
    <x v="31"/>
    <n v="10"/>
    <x v="0"/>
    <x v="1"/>
    <n v="8"/>
    <x v="31"/>
    <x v="3"/>
    <x v="2"/>
    <n v="44"/>
    <n v="48.4"/>
    <n v="484"/>
    <n v="440"/>
    <n v="44"/>
  </r>
  <r>
    <x v="300"/>
    <x v="1"/>
    <n v="8"/>
    <x v="7"/>
    <x v="18"/>
    <n v="7"/>
    <x v="2"/>
    <x v="0"/>
    <n v="27"/>
    <x v="18"/>
    <x v="3"/>
    <x v="3"/>
    <n v="12"/>
    <n v="15.719999999999999"/>
    <n v="110.03999999999999"/>
    <n v="84"/>
    <n v="26.039999999999992"/>
  </r>
  <r>
    <x v="301"/>
    <x v="1"/>
    <n v="8"/>
    <x v="7"/>
    <x v="26"/>
    <n v="8"/>
    <x v="1"/>
    <x v="0"/>
    <n v="81"/>
    <x v="26"/>
    <x v="4"/>
    <x v="2"/>
    <n v="47"/>
    <n v="53.11"/>
    <n v="424.88"/>
    <n v="376"/>
    <n v="48.879999999999995"/>
  </r>
  <r>
    <x v="301"/>
    <x v="1"/>
    <n v="8"/>
    <x v="7"/>
    <x v="14"/>
    <n v="2"/>
    <x v="1"/>
    <x v="1"/>
    <n v="71"/>
    <x v="14"/>
    <x v="3"/>
    <x v="0"/>
    <n v="148"/>
    <n v="164.28"/>
    <n v="328.56"/>
    <n v="296"/>
    <n v="32.56"/>
  </r>
  <r>
    <x v="302"/>
    <x v="1"/>
    <n v="8"/>
    <x v="7"/>
    <x v="36"/>
    <n v="3"/>
    <x v="1"/>
    <x v="0"/>
    <n v="37"/>
    <x v="36"/>
    <x v="1"/>
    <x v="2"/>
    <n v="43"/>
    <n v="47.730000000000004"/>
    <n v="143.19"/>
    <n v="129"/>
    <n v="14.189999999999998"/>
  </r>
  <r>
    <x v="303"/>
    <x v="1"/>
    <n v="8"/>
    <x v="7"/>
    <x v="17"/>
    <n v="13"/>
    <x v="2"/>
    <x v="0"/>
    <n v="38"/>
    <x v="17"/>
    <x v="0"/>
    <x v="0"/>
    <n v="141"/>
    <n v="149.46"/>
    <n v="1942.98"/>
    <n v="1833"/>
    <n v="109.98000000000002"/>
  </r>
  <r>
    <x v="303"/>
    <x v="1"/>
    <n v="8"/>
    <x v="7"/>
    <x v="38"/>
    <n v="14"/>
    <x v="2"/>
    <x v="0"/>
    <n v="15"/>
    <x v="38"/>
    <x v="4"/>
    <x v="1"/>
    <n v="95"/>
    <n v="119.7"/>
    <n v="1675.8"/>
    <n v="1330"/>
    <n v="345.79999999999995"/>
  </r>
  <r>
    <x v="304"/>
    <x v="1"/>
    <n v="8"/>
    <x v="7"/>
    <x v="20"/>
    <n v="4"/>
    <x v="2"/>
    <x v="0"/>
    <n v="84"/>
    <x v="20"/>
    <x v="3"/>
    <x v="3"/>
    <n v="13"/>
    <n v="16.64"/>
    <n v="66.56"/>
    <n v="52"/>
    <n v="14.560000000000002"/>
  </r>
  <r>
    <x v="305"/>
    <x v="1"/>
    <n v="8"/>
    <x v="7"/>
    <x v="16"/>
    <n v="11"/>
    <x v="1"/>
    <x v="0"/>
    <n v="75"/>
    <x v="16"/>
    <x v="2"/>
    <x v="1"/>
    <n v="76"/>
    <n v="82.08"/>
    <n v="902.88"/>
    <n v="836"/>
    <n v="66.88"/>
  </r>
  <r>
    <x v="305"/>
    <x v="1"/>
    <n v="8"/>
    <x v="7"/>
    <x v="26"/>
    <n v="14"/>
    <x v="2"/>
    <x v="1"/>
    <n v="27"/>
    <x v="26"/>
    <x v="4"/>
    <x v="2"/>
    <n v="47"/>
    <n v="53.11"/>
    <n v="743.54"/>
    <n v="658"/>
    <n v="85.539999999999964"/>
  </r>
  <r>
    <x v="306"/>
    <x v="1"/>
    <n v="8"/>
    <x v="7"/>
    <x v="7"/>
    <n v="5"/>
    <x v="2"/>
    <x v="1"/>
    <n v="69"/>
    <x v="7"/>
    <x v="1"/>
    <x v="0"/>
    <n v="133"/>
    <n v="155.61000000000001"/>
    <n v="778.05000000000007"/>
    <n v="665"/>
    <n v="113.05000000000007"/>
  </r>
  <r>
    <x v="307"/>
    <x v="1"/>
    <n v="8"/>
    <x v="7"/>
    <x v="40"/>
    <n v="13"/>
    <x v="0"/>
    <x v="1"/>
    <n v="54"/>
    <x v="40"/>
    <x v="3"/>
    <x v="0"/>
    <n v="150"/>
    <n v="210"/>
    <n v="2730"/>
    <n v="1950"/>
    <n v="780"/>
  </r>
  <r>
    <x v="307"/>
    <x v="1"/>
    <n v="8"/>
    <x v="7"/>
    <x v="12"/>
    <n v="8"/>
    <x v="1"/>
    <x v="0"/>
    <n v="3"/>
    <x v="12"/>
    <x v="2"/>
    <x v="1"/>
    <n v="67"/>
    <n v="85.76"/>
    <n v="686.08"/>
    <n v="536"/>
    <n v="150.08000000000004"/>
  </r>
  <r>
    <x v="308"/>
    <x v="1"/>
    <n v="8"/>
    <x v="7"/>
    <x v="34"/>
    <n v="15"/>
    <x v="0"/>
    <x v="0"/>
    <n v="57"/>
    <x v="34"/>
    <x v="2"/>
    <x v="3"/>
    <n v="37"/>
    <n v="42.55"/>
    <n v="638.25"/>
    <n v="555"/>
    <n v="83.25"/>
  </r>
  <r>
    <x v="309"/>
    <x v="1"/>
    <n v="8"/>
    <x v="7"/>
    <x v="7"/>
    <n v="9"/>
    <x v="1"/>
    <x v="0"/>
    <n v="20"/>
    <x v="7"/>
    <x v="1"/>
    <x v="0"/>
    <n v="133"/>
    <n v="155.61000000000001"/>
    <n v="1400.4900000000002"/>
    <n v="1197"/>
    <n v="203.49000000000024"/>
  </r>
  <r>
    <x v="309"/>
    <x v="1"/>
    <n v="8"/>
    <x v="7"/>
    <x v="34"/>
    <n v="5"/>
    <x v="2"/>
    <x v="0"/>
    <n v="51"/>
    <x v="34"/>
    <x v="2"/>
    <x v="3"/>
    <n v="37"/>
    <n v="42.55"/>
    <n v="212.75"/>
    <n v="185"/>
    <n v="27.75"/>
  </r>
  <r>
    <x v="310"/>
    <x v="1"/>
    <n v="8"/>
    <x v="7"/>
    <x v="9"/>
    <n v="6"/>
    <x v="1"/>
    <x v="1"/>
    <n v="82"/>
    <x v="9"/>
    <x v="1"/>
    <x v="1"/>
    <n v="75"/>
    <n v="85.5"/>
    <n v="513"/>
    <n v="450"/>
    <n v="63"/>
  </r>
  <r>
    <x v="310"/>
    <x v="1"/>
    <n v="8"/>
    <x v="7"/>
    <x v="28"/>
    <n v="6"/>
    <x v="2"/>
    <x v="1"/>
    <n v="41"/>
    <x v="28"/>
    <x v="2"/>
    <x v="1"/>
    <n v="67"/>
    <n v="83.08"/>
    <n v="498.48"/>
    <n v="402"/>
    <n v="96.480000000000018"/>
  </r>
  <r>
    <x v="310"/>
    <x v="1"/>
    <n v="8"/>
    <x v="7"/>
    <x v="10"/>
    <n v="5"/>
    <x v="2"/>
    <x v="1"/>
    <n v="13"/>
    <x v="10"/>
    <x v="0"/>
    <x v="3"/>
    <n v="7"/>
    <n v="8.33"/>
    <n v="41.65"/>
    <n v="35"/>
    <n v="6.6499999999999986"/>
  </r>
  <r>
    <x v="311"/>
    <x v="1"/>
    <n v="8"/>
    <x v="7"/>
    <x v="18"/>
    <n v="13"/>
    <x v="2"/>
    <x v="1"/>
    <n v="75"/>
    <x v="18"/>
    <x v="3"/>
    <x v="3"/>
    <n v="12"/>
    <n v="15.719999999999999"/>
    <n v="204.35999999999999"/>
    <n v="156"/>
    <n v="48.359999999999985"/>
  </r>
  <r>
    <x v="312"/>
    <x v="1"/>
    <n v="9"/>
    <x v="8"/>
    <x v="29"/>
    <n v="1"/>
    <x v="2"/>
    <x v="1"/>
    <n v="83"/>
    <x v="29"/>
    <x v="1"/>
    <x v="1"/>
    <n v="105"/>
    <n v="142.80000000000001"/>
    <n v="142.80000000000001"/>
    <n v="105"/>
    <n v="37.800000000000011"/>
  </r>
  <r>
    <x v="313"/>
    <x v="1"/>
    <n v="9"/>
    <x v="8"/>
    <x v="7"/>
    <n v="12"/>
    <x v="0"/>
    <x v="0"/>
    <n v="68"/>
    <x v="7"/>
    <x v="1"/>
    <x v="0"/>
    <n v="133"/>
    <n v="155.61000000000001"/>
    <n v="1867.3200000000002"/>
    <n v="1596"/>
    <n v="271.32000000000016"/>
  </r>
  <r>
    <x v="314"/>
    <x v="1"/>
    <n v="9"/>
    <x v="8"/>
    <x v="41"/>
    <n v="9"/>
    <x v="2"/>
    <x v="0"/>
    <n v="40"/>
    <x v="41"/>
    <x v="2"/>
    <x v="0"/>
    <n v="138"/>
    <n v="173.88"/>
    <n v="1564.92"/>
    <n v="1242"/>
    <n v="322.92000000000007"/>
  </r>
  <r>
    <x v="314"/>
    <x v="1"/>
    <n v="9"/>
    <x v="8"/>
    <x v="4"/>
    <n v="3"/>
    <x v="2"/>
    <x v="0"/>
    <n v="3"/>
    <x v="4"/>
    <x v="1"/>
    <x v="1"/>
    <n v="71"/>
    <n v="80.94"/>
    <n v="242.82"/>
    <n v="213"/>
    <n v="29.819999999999993"/>
  </r>
  <r>
    <x v="315"/>
    <x v="1"/>
    <n v="9"/>
    <x v="8"/>
    <x v="6"/>
    <n v="15"/>
    <x v="1"/>
    <x v="1"/>
    <n v="90"/>
    <x v="6"/>
    <x v="4"/>
    <x v="3"/>
    <n v="5"/>
    <n v="6.7"/>
    <n v="100.5"/>
    <n v="75"/>
    <n v="25.5"/>
  </r>
  <r>
    <x v="315"/>
    <x v="1"/>
    <n v="9"/>
    <x v="8"/>
    <x v="2"/>
    <n v="4"/>
    <x v="2"/>
    <x v="1"/>
    <n v="73"/>
    <x v="2"/>
    <x v="2"/>
    <x v="1"/>
    <n v="72"/>
    <n v="79.92"/>
    <n v="319.68"/>
    <n v="288"/>
    <n v="31.680000000000007"/>
  </r>
  <r>
    <x v="316"/>
    <x v="1"/>
    <n v="9"/>
    <x v="8"/>
    <x v="26"/>
    <n v="3"/>
    <x v="2"/>
    <x v="1"/>
    <n v="59"/>
    <x v="26"/>
    <x v="4"/>
    <x v="2"/>
    <n v="47"/>
    <n v="53.11"/>
    <n v="159.32999999999998"/>
    <n v="141"/>
    <n v="18.329999999999984"/>
  </r>
  <r>
    <x v="317"/>
    <x v="1"/>
    <n v="9"/>
    <x v="8"/>
    <x v="12"/>
    <n v="15"/>
    <x v="1"/>
    <x v="0"/>
    <n v="13"/>
    <x v="12"/>
    <x v="2"/>
    <x v="1"/>
    <n v="67"/>
    <n v="85.76"/>
    <n v="1286.4000000000001"/>
    <n v="1005"/>
    <n v="281.40000000000009"/>
  </r>
  <r>
    <x v="318"/>
    <x v="1"/>
    <n v="9"/>
    <x v="8"/>
    <x v="42"/>
    <n v="14"/>
    <x v="1"/>
    <x v="1"/>
    <n v="2"/>
    <x v="42"/>
    <x v="4"/>
    <x v="3"/>
    <n v="18"/>
    <n v="24.66"/>
    <n v="345.24"/>
    <n v="252"/>
    <n v="93.240000000000009"/>
  </r>
  <r>
    <x v="319"/>
    <x v="1"/>
    <n v="9"/>
    <x v="8"/>
    <x v="38"/>
    <n v="8"/>
    <x v="0"/>
    <x v="1"/>
    <n v="12"/>
    <x v="38"/>
    <x v="4"/>
    <x v="1"/>
    <n v="95"/>
    <n v="119.7"/>
    <n v="957.6"/>
    <n v="760"/>
    <n v="197.60000000000002"/>
  </r>
  <r>
    <x v="320"/>
    <x v="1"/>
    <n v="9"/>
    <x v="8"/>
    <x v="38"/>
    <n v="6"/>
    <x v="2"/>
    <x v="0"/>
    <n v="29"/>
    <x v="38"/>
    <x v="4"/>
    <x v="1"/>
    <n v="95"/>
    <n v="119.7"/>
    <n v="718.2"/>
    <n v="570"/>
    <n v="148.20000000000005"/>
  </r>
  <r>
    <x v="320"/>
    <x v="1"/>
    <n v="9"/>
    <x v="8"/>
    <x v="1"/>
    <n v="10"/>
    <x v="2"/>
    <x v="0"/>
    <n v="59"/>
    <x v="1"/>
    <x v="1"/>
    <x v="1"/>
    <n v="98"/>
    <n v="103.88"/>
    <n v="1038.8"/>
    <n v="980"/>
    <n v="58.799999999999955"/>
  </r>
  <r>
    <x v="321"/>
    <x v="1"/>
    <n v="9"/>
    <x v="8"/>
    <x v="30"/>
    <n v="14"/>
    <x v="1"/>
    <x v="0"/>
    <n v="78"/>
    <x v="30"/>
    <x v="3"/>
    <x v="3"/>
    <n v="37"/>
    <n v="49.21"/>
    <n v="688.94"/>
    <n v="518"/>
    <n v="170.94000000000005"/>
  </r>
  <r>
    <x v="321"/>
    <x v="1"/>
    <n v="9"/>
    <x v="8"/>
    <x v="42"/>
    <n v="5"/>
    <x v="2"/>
    <x v="1"/>
    <n v="88"/>
    <x v="42"/>
    <x v="4"/>
    <x v="3"/>
    <n v="18"/>
    <n v="24.66"/>
    <n v="123.3"/>
    <n v="90"/>
    <n v="33.299999999999997"/>
  </r>
  <r>
    <x v="322"/>
    <x v="1"/>
    <n v="9"/>
    <x v="8"/>
    <x v="28"/>
    <n v="12"/>
    <x v="1"/>
    <x v="0"/>
    <n v="11"/>
    <x v="28"/>
    <x v="2"/>
    <x v="1"/>
    <n v="67"/>
    <n v="83.08"/>
    <n v="996.96"/>
    <n v="804"/>
    <n v="192.96000000000004"/>
  </r>
  <r>
    <x v="323"/>
    <x v="1"/>
    <n v="9"/>
    <x v="8"/>
    <x v="35"/>
    <n v="12"/>
    <x v="2"/>
    <x v="0"/>
    <n v="85"/>
    <x v="35"/>
    <x v="3"/>
    <x v="1"/>
    <n v="73"/>
    <n v="94.17"/>
    <n v="1130.04"/>
    <n v="876"/>
    <n v="254.03999999999996"/>
  </r>
  <r>
    <x v="324"/>
    <x v="1"/>
    <n v="9"/>
    <x v="8"/>
    <x v="25"/>
    <n v="14"/>
    <x v="2"/>
    <x v="0"/>
    <n v="20"/>
    <x v="25"/>
    <x v="4"/>
    <x v="1"/>
    <n v="89"/>
    <n v="117.48"/>
    <n v="1644.72"/>
    <n v="1246"/>
    <n v="398.72"/>
  </r>
  <r>
    <x v="324"/>
    <x v="1"/>
    <n v="9"/>
    <x v="8"/>
    <x v="25"/>
    <n v="8"/>
    <x v="2"/>
    <x v="1"/>
    <n v="4"/>
    <x v="25"/>
    <x v="4"/>
    <x v="1"/>
    <n v="89"/>
    <n v="117.48"/>
    <n v="939.84"/>
    <n v="712"/>
    <n v="227.84000000000003"/>
  </r>
  <r>
    <x v="325"/>
    <x v="1"/>
    <n v="9"/>
    <x v="8"/>
    <x v="43"/>
    <n v="4"/>
    <x v="2"/>
    <x v="1"/>
    <n v="5"/>
    <x v="43"/>
    <x v="4"/>
    <x v="1"/>
    <n v="90"/>
    <n v="96.3"/>
    <n v="385.2"/>
    <n v="360"/>
    <n v="25.199999999999989"/>
  </r>
  <r>
    <x v="325"/>
    <x v="1"/>
    <n v="9"/>
    <x v="8"/>
    <x v="16"/>
    <n v="9"/>
    <x v="2"/>
    <x v="1"/>
    <n v="73"/>
    <x v="16"/>
    <x v="2"/>
    <x v="1"/>
    <n v="76"/>
    <n v="82.08"/>
    <n v="738.72"/>
    <n v="684"/>
    <n v="54.720000000000027"/>
  </r>
  <r>
    <x v="325"/>
    <x v="1"/>
    <n v="9"/>
    <x v="8"/>
    <x v="2"/>
    <n v="3"/>
    <x v="0"/>
    <x v="1"/>
    <n v="74"/>
    <x v="2"/>
    <x v="2"/>
    <x v="1"/>
    <n v="72"/>
    <n v="79.92"/>
    <n v="239.76"/>
    <n v="216"/>
    <n v="23.759999999999991"/>
  </r>
  <r>
    <x v="326"/>
    <x v="1"/>
    <n v="9"/>
    <x v="8"/>
    <x v="19"/>
    <n v="13"/>
    <x v="2"/>
    <x v="0"/>
    <n v="65"/>
    <x v="19"/>
    <x v="4"/>
    <x v="2"/>
    <n v="55"/>
    <n v="58.3"/>
    <n v="757.9"/>
    <n v="715"/>
    <n v="42.899999999999977"/>
  </r>
  <r>
    <x v="327"/>
    <x v="1"/>
    <n v="10"/>
    <x v="9"/>
    <x v="31"/>
    <n v="5"/>
    <x v="2"/>
    <x v="1"/>
    <n v="22"/>
    <x v="31"/>
    <x v="3"/>
    <x v="2"/>
    <n v="44"/>
    <n v="48.4"/>
    <n v="242"/>
    <n v="220"/>
    <n v="22"/>
  </r>
  <r>
    <x v="328"/>
    <x v="1"/>
    <n v="10"/>
    <x v="9"/>
    <x v="36"/>
    <n v="15"/>
    <x v="2"/>
    <x v="0"/>
    <n v="36"/>
    <x v="36"/>
    <x v="1"/>
    <x v="2"/>
    <n v="43"/>
    <n v="47.730000000000004"/>
    <n v="715.95"/>
    <n v="645"/>
    <n v="70.950000000000045"/>
  </r>
  <r>
    <x v="329"/>
    <x v="1"/>
    <n v="10"/>
    <x v="9"/>
    <x v="6"/>
    <n v="1"/>
    <x v="2"/>
    <x v="0"/>
    <n v="66"/>
    <x v="6"/>
    <x v="4"/>
    <x v="3"/>
    <n v="5"/>
    <n v="6.7"/>
    <n v="6.7"/>
    <n v="5"/>
    <n v="1.7000000000000002"/>
  </r>
  <r>
    <x v="330"/>
    <x v="1"/>
    <n v="10"/>
    <x v="9"/>
    <x v="2"/>
    <n v="14"/>
    <x v="1"/>
    <x v="0"/>
    <n v="46"/>
    <x v="2"/>
    <x v="2"/>
    <x v="1"/>
    <n v="72"/>
    <n v="79.92"/>
    <n v="1118.8800000000001"/>
    <n v="1008"/>
    <n v="110.88000000000011"/>
  </r>
  <r>
    <x v="331"/>
    <x v="1"/>
    <n v="10"/>
    <x v="9"/>
    <x v="40"/>
    <n v="9"/>
    <x v="2"/>
    <x v="0"/>
    <n v="39"/>
    <x v="40"/>
    <x v="3"/>
    <x v="0"/>
    <n v="150"/>
    <n v="210"/>
    <n v="1890"/>
    <n v="1350"/>
    <n v="540"/>
  </r>
  <r>
    <x v="331"/>
    <x v="1"/>
    <n v="10"/>
    <x v="9"/>
    <x v="16"/>
    <n v="12"/>
    <x v="1"/>
    <x v="0"/>
    <n v="88"/>
    <x v="16"/>
    <x v="2"/>
    <x v="1"/>
    <n v="76"/>
    <n v="82.08"/>
    <n v="984.96"/>
    <n v="912"/>
    <n v="72.960000000000036"/>
  </r>
  <r>
    <x v="332"/>
    <x v="1"/>
    <n v="10"/>
    <x v="9"/>
    <x v="11"/>
    <n v="10"/>
    <x v="2"/>
    <x v="0"/>
    <n v="63"/>
    <x v="11"/>
    <x v="1"/>
    <x v="1"/>
    <n v="83"/>
    <n v="94.62"/>
    <n v="946.2"/>
    <n v="830"/>
    <n v="116.20000000000005"/>
  </r>
  <r>
    <x v="333"/>
    <x v="1"/>
    <n v="10"/>
    <x v="9"/>
    <x v="29"/>
    <n v="15"/>
    <x v="1"/>
    <x v="0"/>
    <n v="34"/>
    <x v="29"/>
    <x v="1"/>
    <x v="1"/>
    <n v="105"/>
    <n v="142.80000000000001"/>
    <n v="2142"/>
    <n v="1575"/>
    <n v="567"/>
  </r>
  <r>
    <x v="334"/>
    <x v="1"/>
    <n v="10"/>
    <x v="9"/>
    <x v="16"/>
    <n v="15"/>
    <x v="0"/>
    <x v="0"/>
    <n v="53"/>
    <x v="16"/>
    <x v="2"/>
    <x v="1"/>
    <n v="76"/>
    <n v="82.08"/>
    <n v="1231.2"/>
    <n v="1140"/>
    <n v="91.200000000000045"/>
  </r>
  <r>
    <x v="335"/>
    <x v="1"/>
    <n v="10"/>
    <x v="9"/>
    <x v="18"/>
    <n v="10"/>
    <x v="2"/>
    <x v="1"/>
    <n v="24"/>
    <x v="18"/>
    <x v="3"/>
    <x v="3"/>
    <n v="12"/>
    <n v="15.719999999999999"/>
    <n v="157.19999999999999"/>
    <n v="120"/>
    <n v="37.199999999999989"/>
  </r>
  <r>
    <x v="336"/>
    <x v="1"/>
    <n v="10"/>
    <x v="9"/>
    <x v="43"/>
    <n v="3"/>
    <x v="1"/>
    <x v="0"/>
    <n v="90"/>
    <x v="43"/>
    <x v="4"/>
    <x v="1"/>
    <n v="90"/>
    <n v="96.3"/>
    <n v="288.89999999999998"/>
    <n v="270"/>
    <n v="18.899999999999977"/>
  </r>
  <r>
    <x v="337"/>
    <x v="1"/>
    <n v="10"/>
    <x v="9"/>
    <x v="0"/>
    <n v="14"/>
    <x v="1"/>
    <x v="1"/>
    <n v="18"/>
    <x v="0"/>
    <x v="0"/>
    <x v="0"/>
    <n v="144"/>
    <n v="156.96"/>
    <n v="2197.44"/>
    <n v="2016"/>
    <n v="181.44000000000005"/>
  </r>
  <r>
    <x v="338"/>
    <x v="1"/>
    <n v="10"/>
    <x v="9"/>
    <x v="15"/>
    <n v="3"/>
    <x v="2"/>
    <x v="1"/>
    <n v="58"/>
    <x v="15"/>
    <x v="2"/>
    <x v="0"/>
    <n v="120"/>
    <n v="162"/>
    <n v="486"/>
    <n v="360"/>
    <n v="126"/>
  </r>
  <r>
    <x v="339"/>
    <x v="1"/>
    <n v="10"/>
    <x v="9"/>
    <x v="2"/>
    <n v="8"/>
    <x v="2"/>
    <x v="0"/>
    <n v="40"/>
    <x v="2"/>
    <x v="2"/>
    <x v="1"/>
    <n v="72"/>
    <n v="79.92"/>
    <n v="639.36"/>
    <n v="576"/>
    <n v="63.360000000000014"/>
  </r>
  <r>
    <x v="340"/>
    <x v="1"/>
    <n v="11"/>
    <x v="10"/>
    <x v="35"/>
    <n v="15"/>
    <x v="0"/>
    <x v="0"/>
    <n v="69"/>
    <x v="35"/>
    <x v="3"/>
    <x v="1"/>
    <n v="73"/>
    <n v="94.17"/>
    <n v="1412.55"/>
    <n v="1095"/>
    <n v="317.54999999999995"/>
  </r>
  <r>
    <x v="341"/>
    <x v="1"/>
    <n v="11"/>
    <x v="10"/>
    <x v="18"/>
    <n v="15"/>
    <x v="0"/>
    <x v="1"/>
    <n v="50"/>
    <x v="18"/>
    <x v="3"/>
    <x v="3"/>
    <n v="12"/>
    <n v="15.719999999999999"/>
    <n v="235.79999999999998"/>
    <n v="180"/>
    <n v="55.799999999999983"/>
  </r>
  <r>
    <x v="341"/>
    <x v="1"/>
    <n v="11"/>
    <x v="10"/>
    <x v="27"/>
    <n v="15"/>
    <x v="2"/>
    <x v="1"/>
    <n v="39"/>
    <x v="27"/>
    <x v="4"/>
    <x v="0"/>
    <n v="148"/>
    <n v="201.28"/>
    <n v="3019.2"/>
    <n v="2220"/>
    <n v="799.19999999999982"/>
  </r>
  <r>
    <x v="341"/>
    <x v="1"/>
    <n v="11"/>
    <x v="10"/>
    <x v="6"/>
    <n v="5"/>
    <x v="2"/>
    <x v="1"/>
    <n v="19"/>
    <x v="6"/>
    <x v="4"/>
    <x v="3"/>
    <n v="5"/>
    <n v="6.7"/>
    <n v="33.5"/>
    <n v="25"/>
    <n v="8.5"/>
  </r>
  <r>
    <x v="342"/>
    <x v="1"/>
    <n v="11"/>
    <x v="10"/>
    <x v="21"/>
    <n v="11"/>
    <x v="1"/>
    <x v="0"/>
    <n v="63"/>
    <x v="21"/>
    <x v="0"/>
    <x v="2"/>
    <n v="61"/>
    <n v="76.25"/>
    <n v="838.75"/>
    <n v="671"/>
    <n v="167.75"/>
  </r>
  <r>
    <x v="343"/>
    <x v="1"/>
    <n v="11"/>
    <x v="10"/>
    <x v="11"/>
    <n v="10"/>
    <x v="2"/>
    <x v="0"/>
    <n v="84"/>
    <x v="11"/>
    <x v="1"/>
    <x v="1"/>
    <n v="83"/>
    <n v="94.62"/>
    <n v="946.2"/>
    <n v="830"/>
    <n v="116.20000000000005"/>
  </r>
  <r>
    <x v="344"/>
    <x v="1"/>
    <n v="11"/>
    <x v="10"/>
    <x v="40"/>
    <n v="15"/>
    <x v="2"/>
    <x v="1"/>
    <n v="3"/>
    <x v="40"/>
    <x v="3"/>
    <x v="0"/>
    <n v="150"/>
    <n v="210"/>
    <n v="3150"/>
    <n v="2250"/>
    <n v="900"/>
  </r>
  <r>
    <x v="345"/>
    <x v="1"/>
    <n v="11"/>
    <x v="10"/>
    <x v="28"/>
    <n v="13"/>
    <x v="2"/>
    <x v="1"/>
    <n v="90"/>
    <x v="28"/>
    <x v="2"/>
    <x v="1"/>
    <n v="67"/>
    <n v="83.08"/>
    <n v="1080.04"/>
    <n v="871"/>
    <n v="209.03999999999996"/>
  </r>
  <r>
    <x v="345"/>
    <x v="1"/>
    <n v="11"/>
    <x v="10"/>
    <x v="18"/>
    <n v="13"/>
    <x v="1"/>
    <x v="0"/>
    <n v="5"/>
    <x v="18"/>
    <x v="3"/>
    <x v="3"/>
    <n v="12"/>
    <n v="15.719999999999999"/>
    <n v="204.35999999999999"/>
    <n v="156"/>
    <n v="48.359999999999985"/>
  </r>
  <r>
    <x v="345"/>
    <x v="1"/>
    <n v="11"/>
    <x v="10"/>
    <x v="15"/>
    <n v="13"/>
    <x v="2"/>
    <x v="1"/>
    <n v="8"/>
    <x v="15"/>
    <x v="2"/>
    <x v="0"/>
    <n v="120"/>
    <n v="162"/>
    <n v="2106"/>
    <n v="1560"/>
    <n v="546"/>
  </r>
  <r>
    <x v="346"/>
    <x v="1"/>
    <n v="11"/>
    <x v="10"/>
    <x v="23"/>
    <n v="13"/>
    <x v="1"/>
    <x v="1"/>
    <n v="38"/>
    <x v="23"/>
    <x v="2"/>
    <x v="1"/>
    <n v="90"/>
    <n v="115.2"/>
    <n v="1497.6000000000001"/>
    <n v="1170"/>
    <n v="327.60000000000014"/>
  </r>
  <r>
    <x v="347"/>
    <x v="1"/>
    <n v="11"/>
    <x v="10"/>
    <x v="43"/>
    <n v="11"/>
    <x v="0"/>
    <x v="1"/>
    <n v="73"/>
    <x v="43"/>
    <x v="4"/>
    <x v="1"/>
    <n v="90"/>
    <n v="96.3"/>
    <n v="1059.3"/>
    <n v="990"/>
    <n v="69.299999999999955"/>
  </r>
  <r>
    <x v="347"/>
    <x v="1"/>
    <n v="11"/>
    <x v="10"/>
    <x v="40"/>
    <n v="10"/>
    <x v="0"/>
    <x v="0"/>
    <n v="67"/>
    <x v="40"/>
    <x v="3"/>
    <x v="0"/>
    <n v="150"/>
    <n v="210"/>
    <n v="2100"/>
    <n v="1500"/>
    <n v="600"/>
  </r>
  <r>
    <x v="348"/>
    <x v="1"/>
    <n v="11"/>
    <x v="10"/>
    <x v="24"/>
    <n v="8"/>
    <x v="1"/>
    <x v="1"/>
    <n v="49"/>
    <x v="24"/>
    <x v="4"/>
    <x v="2"/>
    <n v="48"/>
    <n v="57.120000000000005"/>
    <n v="456.96000000000004"/>
    <n v="384"/>
    <n v="72.960000000000036"/>
  </r>
  <r>
    <x v="349"/>
    <x v="1"/>
    <n v="11"/>
    <x v="10"/>
    <x v="30"/>
    <n v="7"/>
    <x v="2"/>
    <x v="0"/>
    <n v="68"/>
    <x v="30"/>
    <x v="3"/>
    <x v="3"/>
    <n v="37"/>
    <n v="49.21"/>
    <n v="344.47"/>
    <n v="259"/>
    <n v="85.470000000000027"/>
  </r>
  <r>
    <x v="350"/>
    <x v="1"/>
    <n v="11"/>
    <x v="10"/>
    <x v="24"/>
    <n v="10"/>
    <x v="0"/>
    <x v="1"/>
    <n v="53"/>
    <x v="24"/>
    <x v="4"/>
    <x v="2"/>
    <n v="48"/>
    <n v="57.120000000000005"/>
    <n v="571.20000000000005"/>
    <n v="480"/>
    <n v="91.200000000000045"/>
  </r>
  <r>
    <x v="351"/>
    <x v="1"/>
    <n v="11"/>
    <x v="10"/>
    <x v="29"/>
    <n v="1"/>
    <x v="2"/>
    <x v="1"/>
    <n v="5"/>
    <x v="29"/>
    <x v="1"/>
    <x v="1"/>
    <n v="105"/>
    <n v="142.80000000000001"/>
    <n v="142.80000000000001"/>
    <n v="105"/>
    <n v="37.800000000000011"/>
  </r>
  <r>
    <x v="352"/>
    <x v="1"/>
    <n v="11"/>
    <x v="10"/>
    <x v="35"/>
    <n v="14"/>
    <x v="2"/>
    <x v="1"/>
    <n v="27"/>
    <x v="35"/>
    <x v="3"/>
    <x v="1"/>
    <n v="73"/>
    <n v="94.17"/>
    <n v="1318.38"/>
    <n v="1022"/>
    <n v="296.38000000000011"/>
  </r>
  <r>
    <x v="353"/>
    <x v="1"/>
    <n v="11"/>
    <x v="10"/>
    <x v="39"/>
    <n v="8"/>
    <x v="1"/>
    <x v="0"/>
    <n v="40"/>
    <x v="39"/>
    <x v="3"/>
    <x v="0"/>
    <n v="134"/>
    <n v="156.78"/>
    <n v="1254.24"/>
    <n v="1072"/>
    <n v="182.24"/>
  </r>
  <r>
    <x v="354"/>
    <x v="1"/>
    <n v="11"/>
    <x v="10"/>
    <x v="19"/>
    <n v="8"/>
    <x v="2"/>
    <x v="1"/>
    <n v="19"/>
    <x v="19"/>
    <x v="4"/>
    <x v="2"/>
    <n v="55"/>
    <n v="58.3"/>
    <n v="466.4"/>
    <n v="440"/>
    <n v="26.399999999999977"/>
  </r>
  <r>
    <x v="355"/>
    <x v="1"/>
    <n v="11"/>
    <x v="10"/>
    <x v="21"/>
    <n v="6"/>
    <x v="2"/>
    <x v="1"/>
    <n v="81"/>
    <x v="21"/>
    <x v="0"/>
    <x v="2"/>
    <n v="61"/>
    <n v="76.25"/>
    <n v="457.5"/>
    <n v="366"/>
    <n v="91.5"/>
  </r>
  <r>
    <x v="356"/>
    <x v="1"/>
    <n v="11"/>
    <x v="10"/>
    <x v="43"/>
    <n v="12"/>
    <x v="1"/>
    <x v="0"/>
    <n v="16"/>
    <x v="43"/>
    <x v="4"/>
    <x v="1"/>
    <n v="90"/>
    <n v="96.3"/>
    <n v="1155.5999999999999"/>
    <n v="1080"/>
    <n v="75.599999999999909"/>
  </r>
  <r>
    <x v="357"/>
    <x v="1"/>
    <n v="11"/>
    <x v="10"/>
    <x v="5"/>
    <n v="5"/>
    <x v="2"/>
    <x v="1"/>
    <n v="0"/>
    <x v="5"/>
    <x v="1"/>
    <x v="2"/>
    <n v="44"/>
    <n v="48.84"/>
    <n v="244.20000000000002"/>
    <n v="220"/>
    <n v="24.200000000000017"/>
  </r>
  <r>
    <x v="358"/>
    <x v="1"/>
    <n v="11"/>
    <x v="10"/>
    <x v="25"/>
    <n v="5"/>
    <x v="2"/>
    <x v="0"/>
    <n v="1"/>
    <x v="25"/>
    <x v="4"/>
    <x v="1"/>
    <n v="89"/>
    <n v="117.48"/>
    <n v="587.4"/>
    <n v="445"/>
    <n v="142.39999999999998"/>
  </r>
  <r>
    <x v="359"/>
    <x v="1"/>
    <n v="11"/>
    <x v="10"/>
    <x v="19"/>
    <n v="15"/>
    <x v="2"/>
    <x v="0"/>
    <n v="72"/>
    <x v="19"/>
    <x v="4"/>
    <x v="2"/>
    <n v="55"/>
    <n v="58.3"/>
    <n v="874.5"/>
    <n v="825"/>
    <n v="49.5"/>
  </r>
  <r>
    <x v="360"/>
    <x v="1"/>
    <n v="11"/>
    <x v="10"/>
    <x v="8"/>
    <n v="8"/>
    <x v="2"/>
    <x v="1"/>
    <n v="84"/>
    <x v="8"/>
    <x v="4"/>
    <x v="1"/>
    <n v="93"/>
    <n v="104.16"/>
    <n v="833.28"/>
    <n v="744"/>
    <n v="89.279999999999973"/>
  </r>
  <r>
    <x v="361"/>
    <x v="1"/>
    <n v="11"/>
    <x v="10"/>
    <x v="18"/>
    <n v="2"/>
    <x v="2"/>
    <x v="0"/>
    <n v="49"/>
    <x v="18"/>
    <x v="3"/>
    <x v="3"/>
    <n v="12"/>
    <n v="15.719999999999999"/>
    <n v="31.439999999999998"/>
    <n v="24"/>
    <n v="7.4399999999999977"/>
  </r>
  <r>
    <x v="362"/>
    <x v="1"/>
    <n v="12"/>
    <x v="11"/>
    <x v="33"/>
    <n v="5"/>
    <x v="0"/>
    <x v="1"/>
    <n v="62"/>
    <x v="33"/>
    <x v="4"/>
    <x v="3"/>
    <n v="37"/>
    <n v="41.81"/>
    <n v="209.05"/>
    <n v="185"/>
    <n v="24.050000000000011"/>
  </r>
  <r>
    <x v="363"/>
    <x v="1"/>
    <n v="12"/>
    <x v="11"/>
    <x v="42"/>
    <n v="10"/>
    <x v="2"/>
    <x v="1"/>
    <n v="87"/>
    <x v="42"/>
    <x v="4"/>
    <x v="3"/>
    <n v="18"/>
    <n v="24.66"/>
    <n v="246.6"/>
    <n v="180"/>
    <n v="66.599999999999994"/>
  </r>
  <r>
    <x v="363"/>
    <x v="1"/>
    <n v="12"/>
    <x v="11"/>
    <x v="16"/>
    <n v="15"/>
    <x v="2"/>
    <x v="1"/>
    <n v="69"/>
    <x v="16"/>
    <x v="2"/>
    <x v="1"/>
    <n v="76"/>
    <n v="82.08"/>
    <n v="1231.2"/>
    <n v="1140"/>
    <n v="91.200000000000045"/>
  </r>
  <r>
    <x v="364"/>
    <x v="1"/>
    <n v="12"/>
    <x v="11"/>
    <x v="2"/>
    <n v="12"/>
    <x v="2"/>
    <x v="1"/>
    <n v="20"/>
    <x v="2"/>
    <x v="2"/>
    <x v="1"/>
    <n v="72"/>
    <n v="79.92"/>
    <n v="959.04"/>
    <n v="864"/>
    <n v="95.039999999999964"/>
  </r>
  <r>
    <x v="364"/>
    <x v="1"/>
    <n v="12"/>
    <x v="11"/>
    <x v="20"/>
    <n v="13"/>
    <x v="2"/>
    <x v="0"/>
    <n v="23"/>
    <x v="20"/>
    <x v="3"/>
    <x v="3"/>
    <n v="13"/>
    <n v="16.64"/>
    <n v="216.32"/>
    <n v="169"/>
    <n v="47.319999999999993"/>
  </r>
  <r>
    <x v="364"/>
    <x v="1"/>
    <n v="12"/>
    <x v="11"/>
    <x v="2"/>
    <n v="5"/>
    <x v="2"/>
    <x v="1"/>
    <n v="59"/>
    <x v="2"/>
    <x v="2"/>
    <x v="1"/>
    <n v="72"/>
    <n v="79.92"/>
    <n v="399.6"/>
    <n v="360"/>
    <n v="39.600000000000023"/>
  </r>
  <r>
    <x v="365"/>
    <x v="1"/>
    <n v="12"/>
    <x v="11"/>
    <x v="24"/>
    <n v="5"/>
    <x v="2"/>
    <x v="0"/>
    <n v="2"/>
    <x v="24"/>
    <x v="4"/>
    <x v="2"/>
    <n v="48"/>
    <n v="57.120000000000005"/>
    <n v="285.60000000000002"/>
    <n v="240"/>
    <n v="45.600000000000023"/>
  </r>
  <r>
    <x v="365"/>
    <x v="1"/>
    <n v="12"/>
    <x v="11"/>
    <x v="3"/>
    <n v="9"/>
    <x v="0"/>
    <x v="0"/>
    <n v="49"/>
    <x v="3"/>
    <x v="3"/>
    <x v="1"/>
    <n v="112"/>
    <n v="122.08"/>
    <n v="1098.72"/>
    <n v="1008"/>
    <n v="90.720000000000027"/>
  </r>
  <r>
    <x v="365"/>
    <x v="1"/>
    <n v="12"/>
    <x v="11"/>
    <x v="13"/>
    <n v="10"/>
    <x v="1"/>
    <x v="1"/>
    <n v="21"/>
    <x v="13"/>
    <x v="3"/>
    <x v="1"/>
    <n v="112"/>
    <n v="146.72"/>
    <n v="1467.2"/>
    <n v="1120"/>
    <n v="347.20000000000005"/>
  </r>
  <r>
    <x v="366"/>
    <x v="1"/>
    <n v="12"/>
    <x v="11"/>
    <x v="27"/>
    <n v="9"/>
    <x v="0"/>
    <x v="1"/>
    <n v="43"/>
    <x v="27"/>
    <x v="4"/>
    <x v="0"/>
    <n v="148"/>
    <n v="201.28"/>
    <n v="1811.52"/>
    <n v="1332"/>
    <n v="479.52"/>
  </r>
  <r>
    <x v="366"/>
    <x v="1"/>
    <n v="12"/>
    <x v="11"/>
    <x v="41"/>
    <n v="10"/>
    <x v="0"/>
    <x v="0"/>
    <n v="15"/>
    <x v="41"/>
    <x v="2"/>
    <x v="0"/>
    <n v="138"/>
    <n v="173.88"/>
    <n v="1738.8"/>
    <n v="1380"/>
    <n v="358.79999999999995"/>
  </r>
  <r>
    <x v="367"/>
    <x v="1"/>
    <n v="12"/>
    <x v="11"/>
    <x v="7"/>
    <n v="4"/>
    <x v="2"/>
    <x v="1"/>
    <n v="10"/>
    <x v="7"/>
    <x v="1"/>
    <x v="0"/>
    <n v="133"/>
    <n v="155.61000000000001"/>
    <n v="622.44000000000005"/>
    <n v="532"/>
    <n v="90.440000000000055"/>
  </r>
  <r>
    <x v="368"/>
    <x v="1"/>
    <n v="12"/>
    <x v="11"/>
    <x v="37"/>
    <n v="13"/>
    <x v="2"/>
    <x v="0"/>
    <n v="85"/>
    <x v="37"/>
    <x v="1"/>
    <x v="3"/>
    <n v="6"/>
    <n v="7.8599999999999994"/>
    <n v="102.17999999999999"/>
    <n v="78"/>
    <n v="24.179999999999993"/>
  </r>
  <r>
    <x v="369"/>
    <x v="1"/>
    <n v="12"/>
    <x v="11"/>
    <x v="16"/>
    <n v="7"/>
    <x v="2"/>
    <x v="0"/>
    <n v="86"/>
    <x v="16"/>
    <x v="2"/>
    <x v="1"/>
    <n v="76"/>
    <n v="82.08"/>
    <n v="574.55999999999995"/>
    <n v="532"/>
    <n v="42.559999999999945"/>
  </r>
  <r>
    <x v="369"/>
    <x v="1"/>
    <n v="12"/>
    <x v="11"/>
    <x v="31"/>
    <n v="14"/>
    <x v="2"/>
    <x v="1"/>
    <n v="72"/>
    <x v="31"/>
    <x v="3"/>
    <x v="2"/>
    <n v="44"/>
    <n v="48.4"/>
    <n v="677.6"/>
    <n v="616"/>
    <n v="61.600000000000023"/>
  </r>
  <r>
    <x v="369"/>
    <x v="1"/>
    <n v="12"/>
    <x v="11"/>
    <x v="37"/>
    <n v="11"/>
    <x v="1"/>
    <x v="0"/>
    <n v="58"/>
    <x v="37"/>
    <x v="1"/>
    <x v="3"/>
    <n v="6"/>
    <n v="7.8599999999999994"/>
    <n v="86.46"/>
    <n v="66"/>
    <n v="20.459999999999994"/>
  </r>
  <r>
    <x v="370"/>
    <x v="1"/>
    <n v="12"/>
    <x v="11"/>
    <x v="9"/>
    <n v="10"/>
    <x v="2"/>
    <x v="0"/>
    <n v="45"/>
    <x v="9"/>
    <x v="1"/>
    <x v="1"/>
    <n v="75"/>
    <n v="85.5"/>
    <n v="855"/>
    <n v="750"/>
    <n v="105"/>
  </r>
  <r>
    <x v="371"/>
    <x v="1"/>
    <n v="12"/>
    <x v="11"/>
    <x v="11"/>
    <n v="15"/>
    <x v="2"/>
    <x v="0"/>
    <n v="78"/>
    <x v="11"/>
    <x v="1"/>
    <x v="1"/>
    <n v="83"/>
    <n v="94.62"/>
    <n v="1419.3000000000002"/>
    <n v="1245"/>
    <n v="174.30000000000018"/>
  </r>
  <r>
    <x v="371"/>
    <x v="1"/>
    <n v="12"/>
    <x v="11"/>
    <x v="15"/>
    <n v="1"/>
    <x v="0"/>
    <x v="1"/>
    <n v="27"/>
    <x v="15"/>
    <x v="2"/>
    <x v="0"/>
    <n v="120"/>
    <n v="162"/>
    <n v="162"/>
    <n v="120"/>
    <n v="42"/>
  </r>
  <r>
    <x v="372"/>
    <x v="1"/>
    <n v="12"/>
    <x v="11"/>
    <x v="41"/>
    <n v="14"/>
    <x v="2"/>
    <x v="0"/>
    <n v="38"/>
    <x v="41"/>
    <x v="2"/>
    <x v="0"/>
    <n v="138"/>
    <n v="173.88"/>
    <n v="2434.3199999999997"/>
    <n v="1932"/>
    <n v="502.31999999999971"/>
  </r>
  <r>
    <x v="373"/>
    <x v="1"/>
    <n v="12"/>
    <x v="11"/>
    <x v="38"/>
    <n v="12"/>
    <x v="1"/>
    <x v="0"/>
    <n v="47"/>
    <x v="38"/>
    <x v="4"/>
    <x v="1"/>
    <n v="95"/>
    <n v="119.7"/>
    <n v="1436.4"/>
    <n v="1140"/>
    <n v="296.40000000000009"/>
  </r>
  <r>
    <x v="373"/>
    <x v="1"/>
    <n v="12"/>
    <x v="11"/>
    <x v="31"/>
    <n v="6"/>
    <x v="1"/>
    <x v="0"/>
    <n v="73"/>
    <x v="31"/>
    <x v="3"/>
    <x v="2"/>
    <n v="44"/>
    <n v="48.4"/>
    <n v="290.39999999999998"/>
    <n v="264"/>
    <n v="26.399999999999977"/>
  </r>
  <r>
    <x v="373"/>
    <x v="1"/>
    <n v="12"/>
    <x v="11"/>
    <x v="31"/>
    <n v="3"/>
    <x v="0"/>
    <x v="1"/>
    <n v="57"/>
    <x v="31"/>
    <x v="3"/>
    <x v="2"/>
    <n v="44"/>
    <n v="48.4"/>
    <n v="145.19999999999999"/>
    <n v="132"/>
    <n v="13.1999999999999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21AD7-F908-40CC-8BB7-BC6CE5692B6A}" name="Tableau croisé dynamique9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AE3:AF3" firstHeaderRow="1" firstDataRow="1" firstDataCol="1"/>
  <pivotFields count="20">
    <pivotField numFmtId="14" showAll="0">
      <items count="375">
        <item x="0"/>
        <item x="2"/>
        <item x="6"/>
        <item x="8"/>
        <item x="4"/>
        <item x="15"/>
        <item x="18"/>
        <item x="19"/>
        <item x="9"/>
        <item x="21"/>
        <item x="5"/>
        <item x="10"/>
        <item x="1"/>
        <item x="24"/>
        <item x="7"/>
        <item x="17"/>
        <item x="23"/>
        <item x="16"/>
        <item x="12"/>
        <item x="11"/>
        <item x="22"/>
        <item x="14"/>
        <item x="25"/>
        <item x="20"/>
        <item x="26"/>
        <item x="3"/>
        <item x="1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45">
        <item h="1" x="1"/>
        <item h="1" x="29"/>
        <item h="1" x="4"/>
        <item h="1" x="5"/>
        <item x="7"/>
        <item h="1" x="9"/>
        <item h="1" x="36"/>
        <item h="1" x="11"/>
        <item h="1" x="37"/>
        <item h="1" x="14"/>
        <item h="1" x="31"/>
        <item h="1" x="35"/>
        <item h="1" x="3"/>
        <item h="1" x="13"/>
        <item h="1" x="18"/>
        <item h="1" x="20"/>
        <item h="1" x="39"/>
        <item h="1" x="30"/>
        <item h="1" x="40"/>
        <item h="1" x="21"/>
        <item h="1" x="32"/>
        <item h="1" x="22"/>
        <item h="1" x="17"/>
        <item h="1" x="0"/>
        <item h="1" x="10"/>
        <item h="1" x="42"/>
        <item h="1" x="24"/>
        <item h="1" x="33"/>
        <item h="1" x="26"/>
        <item h="1" x="27"/>
        <item h="1" x="8"/>
        <item h="1" x="25"/>
        <item h="1" x="38"/>
        <item h="1" x="19"/>
        <item h="1" x="6"/>
        <item h="1" x="43"/>
        <item h="1" x="12"/>
        <item h="1" x="2"/>
        <item h="1" x="34"/>
        <item h="1" x="23"/>
        <item h="1" x="41"/>
        <item h="1" x="15"/>
        <item h="1" x="28"/>
        <item h="1" x="16"/>
        <item t="default"/>
      </items>
    </pivotField>
    <pivotField showAll="0">
      <items count="6">
        <item x="1"/>
        <item x="3"/>
        <item x="0"/>
        <item x="4"/>
        <item x="2"/>
        <item t="default"/>
      </items>
    </pivotField>
    <pivotField axis="axisRow" dataField="1" showAll="0">
      <items count="5">
        <item h="1" x="0"/>
        <item h="1"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colItems count="1">
    <i/>
  </colItems>
  <dataFields count="1">
    <dataField name="Nombre de BD_2.MESURE" fld="11" subtotal="count" showDataAs="percentOfTota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22A85-957A-4B52-94ED-B0049ABF4F6C}" name="Tableau croisé dynamique2" cacheId="0" applyNumberFormats="0" applyBorderFormats="0" applyFontFormats="0" applyPatternFormats="0" applyAlignmentFormats="0" applyWidthHeightFormats="1" dataCaption="Valeurs" missingCaption="Année de Base" updatedVersion="8" minRefreshableVersion="3" useAutoFormatting="1" rowGrandTotals="0" colGrandTotals="0" itemPrintTitles="1" createdVersion="8" indent="0" outline="1" outlineData="1" multipleFieldFilters="0" chartFormat="2">
  <location ref="I3:J5" firstHeaderRow="1" firstDataRow="1" firstDataCol="1"/>
  <pivotFields count="20">
    <pivotField numFmtId="14" showAll="0">
      <items count="375">
        <item x="0"/>
        <item x="2"/>
        <item x="6"/>
        <item x="8"/>
        <item x="4"/>
        <item x="15"/>
        <item x="18"/>
        <item x="19"/>
        <item x="9"/>
        <item x="21"/>
        <item x="5"/>
        <item x="10"/>
        <item x="1"/>
        <item x="24"/>
        <item x="7"/>
        <item x="17"/>
        <item x="23"/>
        <item x="16"/>
        <item x="12"/>
        <item x="11"/>
        <item x="22"/>
        <item x="14"/>
        <item x="25"/>
        <item x="20"/>
        <item x="26"/>
        <item x="3"/>
        <item x="1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6">
        <item x="1"/>
        <item x="3"/>
        <item x="0"/>
        <item x="4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name="Taux de croissance" fld="14" showDataAs="percentDiff" baseField="1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B682F-50F3-466A-B48B-27DACE561426}" name="Tableau croisé dynamique8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3">
  <location ref="AA3:AC5" firstHeaderRow="0" firstDataRow="1" firstDataCol="1"/>
  <pivotFields count="20">
    <pivotField numFmtId="14" showAll="0">
      <items count="375">
        <item x="0"/>
        <item x="2"/>
        <item x="6"/>
        <item x="8"/>
        <item x="4"/>
        <item x="15"/>
        <item x="18"/>
        <item x="19"/>
        <item x="9"/>
        <item x="21"/>
        <item x="5"/>
        <item x="10"/>
        <item x="1"/>
        <item x="24"/>
        <item x="7"/>
        <item x="17"/>
        <item x="23"/>
        <item x="16"/>
        <item x="12"/>
        <item x="11"/>
        <item x="22"/>
        <item x="14"/>
        <item x="25"/>
        <item x="20"/>
        <item x="26"/>
        <item x="3"/>
        <item x="1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>
      <items count="45">
        <item h="1" x="1"/>
        <item h="1" x="29"/>
        <item h="1" x="4"/>
        <item h="1" x="5"/>
        <item x="7"/>
        <item h="1" x="9"/>
        <item h="1" x="36"/>
        <item h="1" x="11"/>
        <item h="1" x="37"/>
        <item h="1" x="14"/>
        <item h="1" x="31"/>
        <item h="1" x="35"/>
        <item h="1" x="3"/>
        <item h="1" x="13"/>
        <item h="1" x="18"/>
        <item h="1" x="20"/>
        <item h="1" x="39"/>
        <item h="1" x="30"/>
        <item h="1" x="40"/>
        <item h="1" x="21"/>
        <item h="1" x="32"/>
        <item h="1" x="22"/>
        <item h="1" x="17"/>
        <item h="1" x="0"/>
        <item h="1" x="10"/>
        <item h="1" x="42"/>
        <item h="1" x="24"/>
        <item h="1" x="33"/>
        <item h="1" x="26"/>
        <item h="1" x="27"/>
        <item h="1" x="8"/>
        <item h="1" x="25"/>
        <item h="1" x="38"/>
        <item h="1" x="19"/>
        <item h="1" x="6"/>
        <item h="1" x="43"/>
        <item h="1" x="12"/>
        <item h="1" x="2"/>
        <item h="1" x="34"/>
        <item h="1" x="23"/>
        <item h="1" x="41"/>
        <item h="1" x="15"/>
        <item h="1" x="28"/>
        <item h="1" x="16"/>
        <item t="default"/>
      </items>
    </pivotField>
    <pivotField showAll="0">
      <items count="6">
        <item x="1"/>
        <item x="3"/>
        <item x="0"/>
        <item x="4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Nombre de PAYMENT MODE" fld="7" subtotal="count" showDataAs="percentOfTotal" baseField="7" baseItem="0" numFmtId="10"/>
    <dataField name="Somme de Montant Vendu" fld="14" showDataAs="percentOfTotal" baseField="7" baseItem="0" numFmtId="1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69D33-0E19-4166-A084-95F970D4A302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4" firstHeaderRow="0" firstDataRow="1" firstDataCol="0"/>
  <pivotFields count="20">
    <pivotField numFmtId="14" showAll="0">
      <items count="375">
        <item x="0"/>
        <item x="2"/>
        <item x="6"/>
        <item x="8"/>
        <item x="4"/>
        <item x="15"/>
        <item x="18"/>
        <item x="19"/>
        <item x="9"/>
        <item x="21"/>
        <item x="5"/>
        <item x="10"/>
        <item x="1"/>
        <item x="24"/>
        <item x="7"/>
        <item x="17"/>
        <item x="23"/>
        <item x="16"/>
        <item x="12"/>
        <item x="11"/>
        <item x="22"/>
        <item x="14"/>
        <item x="25"/>
        <item x="20"/>
        <item x="26"/>
        <item x="3"/>
        <item x="1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showAll="0">
      <items count="3">
        <item h="1" x="0"/>
        <item x="1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6">
        <item x="1"/>
        <item x="3"/>
        <item x="0"/>
        <item x="4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" fld="14" baseField="0" baseItem="1"/>
    <dataField name="Panier Moyen" fld="14" subtotal="average" baseField="0" baseItem="1"/>
    <dataField name="Cout d'achat" fld="15" baseField="0" baseItem="0"/>
    <dataField name=" Benefice" fld="16" baseField="0" baseItem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A4ECC-DF05-49B7-B9AD-380FC04F3F7F}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3">
  <location ref="A28:C31" firstHeaderRow="0" firstDataRow="1" firstDataCol="1"/>
  <pivotFields count="20">
    <pivotField dataField="1" numFmtId="14" showAll="0">
      <items count="375">
        <item x="0"/>
        <item x="2"/>
        <item x="6"/>
        <item x="8"/>
        <item x="4"/>
        <item x="15"/>
        <item x="18"/>
        <item x="19"/>
        <item x="9"/>
        <item x="21"/>
        <item x="5"/>
        <item x="10"/>
        <item x="1"/>
        <item x="24"/>
        <item x="7"/>
        <item x="17"/>
        <item x="23"/>
        <item x="16"/>
        <item x="12"/>
        <item x="11"/>
        <item x="22"/>
        <item x="14"/>
        <item x="25"/>
        <item x="20"/>
        <item x="26"/>
        <item x="3"/>
        <item x="1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45">
        <item h="1" x="1"/>
        <item h="1" x="29"/>
        <item h="1" x="4"/>
        <item h="1" x="5"/>
        <item x="7"/>
        <item h="1" x="9"/>
        <item h="1" x="36"/>
        <item h="1" x="11"/>
        <item h="1" x="37"/>
        <item h="1" x="14"/>
        <item h="1" x="31"/>
        <item h="1" x="35"/>
        <item h="1" x="3"/>
        <item h="1" x="13"/>
        <item h="1" x="18"/>
        <item h="1" x="20"/>
        <item h="1" x="39"/>
        <item h="1" x="30"/>
        <item h="1" x="40"/>
        <item h="1" x="21"/>
        <item h="1" x="32"/>
        <item h="1" x="22"/>
        <item h="1" x="17"/>
        <item h="1" x="0"/>
        <item h="1" x="10"/>
        <item h="1" x="42"/>
        <item h="1" x="24"/>
        <item h="1" x="33"/>
        <item h="1" x="26"/>
        <item h="1" x="27"/>
        <item h="1" x="8"/>
        <item h="1" x="25"/>
        <item h="1" x="38"/>
        <item h="1" x="19"/>
        <item h="1" x="6"/>
        <item h="1" x="43"/>
        <item h="1" x="12"/>
        <item h="1" x="2"/>
        <item h="1" x="34"/>
        <item h="1" x="23"/>
        <item h="1" x="41"/>
        <item h="1" x="15"/>
        <item h="1" x="28"/>
        <item h="1" x="16"/>
        <item t="default"/>
      </items>
    </pivotField>
    <pivotField showAll="0">
      <items count="6">
        <item x="1"/>
        <item x="3"/>
        <item x="0"/>
        <item x="4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ontribution" fld="14" showDataAs="percentOfTotal" baseField="6" baseItem="0" numFmtId="10"/>
    <dataField name="Transaction de Vente" fld="0" subtotal="count" showDataAs="percentOfTotal" baseField="6" baseItem="0" numFmtId="10"/>
  </dataFields>
  <chartFormats count="4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981E0-BA8D-4242-8EF4-F627B5753131}" name="Tableau croisé dynamique17" cacheId="0" applyNumberFormats="0" applyBorderFormats="0" applyFontFormats="0" applyPatternFormats="0" applyAlignmentFormats="0" applyWidthHeightFormats="1" dataCaption="Valeurs" missingCaption="Année de Base" updatedVersion="8" minRefreshableVersion="3" useAutoFormatting="1" rowGrandTotals="0" colGrandTotals="0" itemPrintTitles="1" createdVersion="8" indent="0" outline="1" outlineData="1" multipleFieldFilters="0" chartFormat="7">
  <location ref="AK3:AL7" firstHeaderRow="1" firstDataRow="1" firstDataCol="1"/>
  <pivotFields count="20">
    <pivotField numFmtId="14" showAll="0">
      <items count="375">
        <item x="0"/>
        <item x="2"/>
        <item x="6"/>
        <item x="8"/>
        <item x="4"/>
        <item x="15"/>
        <item x="18"/>
        <item x="19"/>
        <item x="9"/>
        <item x="21"/>
        <item x="5"/>
        <item x="10"/>
        <item x="1"/>
        <item x="24"/>
        <item x="7"/>
        <item x="17"/>
        <item x="23"/>
        <item x="16"/>
        <item x="12"/>
        <item x="11"/>
        <item x="22"/>
        <item x="14"/>
        <item x="25"/>
        <item x="20"/>
        <item x="26"/>
        <item x="3"/>
        <item x="1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showAll="0">
      <items count="3">
        <item h="1" x="0"/>
        <item x="1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6">
        <item x="1"/>
        <item x="3"/>
        <item h="1" x="0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4">
    <i>
      <x/>
    </i>
    <i>
      <x v="1"/>
    </i>
    <i>
      <x v="3"/>
    </i>
    <i>
      <x v="4"/>
    </i>
  </rowItems>
  <colItems count="1">
    <i/>
  </colItems>
  <dataFields count="1">
    <dataField name="Somme de QUANTITY" fld="5" showDataAs="percentOfTotal" baseField="10" baseItem="0" numFmtId="10"/>
  </dataFields>
  <chartFormats count="5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06395-B65A-4AC8-B067-446F0AD0BA00}" name="Tableau croisé dynamique11" cacheId="0" applyNumberFormats="0" applyBorderFormats="0" applyFontFormats="0" applyPatternFormats="0" applyAlignmentFormats="0" applyWidthHeightFormats="1" dataCaption="Valeurs" missingCaption="Année de Base" updatedVersion="8" minRefreshableVersion="3" useAutoFormatting="1" rowGrandTotals="0" colGrandTotals="0" itemPrintTitles="1" createdVersion="8" indent="0" outline="1" outlineData="1" multipleFieldFilters="0" chartFormat="3">
  <location ref="X3:Y47" firstHeaderRow="1" firstDataRow="1" firstDataCol="1"/>
  <pivotFields count="20">
    <pivotField numFmtId="14" showAll="0">
      <items count="375">
        <item x="0"/>
        <item x="2"/>
        <item x="6"/>
        <item x="8"/>
        <item x="4"/>
        <item x="15"/>
        <item x="18"/>
        <item x="19"/>
        <item x="9"/>
        <item x="21"/>
        <item x="5"/>
        <item x="10"/>
        <item x="1"/>
        <item x="24"/>
        <item x="7"/>
        <item x="17"/>
        <item x="23"/>
        <item x="16"/>
        <item x="12"/>
        <item x="11"/>
        <item x="22"/>
        <item x="14"/>
        <item x="25"/>
        <item x="20"/>
        <item x="26"/>
        <item x="3"/>
        <item x="1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showAll="0">
      <items count="3">
        <item h="1" x="0"/>
        <item x="1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 sortType="ascending">
      <items count="45">
        <item x="1"/>
        <item x="29"/>
        <item x="4"/>
        <item x="5"/>
        <item x="7"/>
        <item x="9"/>
        <item x="36"/>
        <item x="11"/>
        <item x="37"/>
        <item x="14"/>
        <item x="31"/>
        <item x="35"/>
        <item x="3"/>
        <item x="13"/>
        <item x="18"/>
        <item x="20"/>
        <item x="39"/>
        <item x="30"/>
        <item x="40"/>
        <item x="21"/>
        <item x="32"/>
        <item x="22"/>
        <item x="17"/>
        <item x="0"/>
        <item x="10"/>
        <item x="42"/>
        <item x="24"/>
        <item x="33"/>
        <item x="26"/>
        <item x="27"/>
        <item x="8"/>
        <item x="25"/>
        <item x="38"/>
        <item x="19"/>
        <item x="6"/>
        <item x="43"/>
        <item x="12"/>
        <item x="2"/>
        <item x="34"/>
        <item x="23"/>
        <item x="41"/>
        <item x="15"/>
        <item x="28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44">
    <i>
      <x v="34"/>
    </i>
    <i>
      <x v="24"/>
    </i>
    <i>
      <x v="8"/>
    </i>
    <i>
      <x v="6"/>
    </i>
    <i>
      <x v="27"/>
    </i>
    <i>
      <x v="14"/>
    </i>
    <i>
      <x v="15"/>
    </i>
    <i>
      <x v="38"/>
    </i>
    <i>
      <x v="17"/>
    </i>
    <i>
      <x v="28"/>
    </i>
    <i>
      <x v="30"/>
    </i>
    <i>
      <x v="23"/>
    </i>
    <i>
      <x v="25"/>
    </i>
    <i>
      <x v="12"/>
    </i>
    <i>
      <x v="3"/>
    </i>
    <i>
      <x v="21"/>
    </i>
    <i>
      <x v="5"/>
    </i>
    <i>
      <x v="2"/>
    </i>
    <i>
      <x v="22"/>
    </i>
    <i>
      <x v="10"/>
    </i>
    <i>
      <x v="20"/>
    </i>
    <i>
      <x v="36"/>
    </i>
    <i>
      <x v="39"/>
    </i>
    <i>
      <x v="26"/>
    </i>
    <i>
      <x v="19"/>
    </i>
    <i>
      <x/>
    </i>
    <i>
      <x v="35"/>
    </i>
    <i>
      <x v="37"/>
    </i>
    <i>
      <x v="42"/>
    </i>
    <i>
      <x v="33"/>
    </i>
    <i>
      <x v="7"/>
    </i>
    <i>
      <x v="13"/>
    </i>
    <i>
      <x v="41"/>
    </i>
    <i>
      <x v="11"/>
    </i>
    <i>
      <x v="9"/>
    </i>
    <i>
      <x v="16"/>
    </i>
    <i>
      <x v="43"/>
    </i>
    <i>
      <x v="1"/>
    </i>
    <i>
      <x v="32"/>
    </i>
    <i>
      <x v="4"/>
    </i>
    <i>
      <x v="18"/>
    </i>
    <i>
      <x v="31"/>
    </i>
    <i>
      <x v="40"/>
    </i>
    <i>
      <x v="29"/>
    </i>
  </rowItems>
  <colItems count="1">
    <i/>
  </colItems>
  <dataFields count="1">
    <dataField name="Contrib Produit" fld="14" showDataAs="percentOfTotal" baseField="10" baseItem="0" numFmtId="1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6617D-E1C8-4613-8E42-2D14C80501F4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A24:A25" firstHeaderRow="1" firstDataRow="1" firstDataCol="0"/>
  <pivotFields count="20">
    <pivotField numFmtId="14" showAll="0">
      <items count="375">
        <item x="0"/>
        <item x="2"/>
        <item x="6"/>
        <item x="8"/>
        <item x="4"/>
        <item x="15"/>
        <item x="18"/>
        <item x="19"/>
        <item x="9"/>
        <item x="21"/>
        <item x="5"/>
        <item x="10"/>
        <item x="1"/>
        <item x="24"/>
        <item x="7"/>
        <item x="17"/>
        <item x="23"/>
        <item x="16"/>
        <item x="12"/>
        <item x="11"/>
        <item x="22"/>
        <item x="14"/>
        <item x="25"/>
        <item x="20"/>
        <item x="26"/>
        <item x="3"/>
        <item x="1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>
      <items count="45">
        <item h="1" x="1"/>
        <item h="1" x="29"/>
        <item h="1" x="4"/>
        <item h="1" x="5"/>
        <item x="7"/>
        <item h="1" x="9"/>
        <item h="1" x="36"/>
        <item h="1" x="11"/>
        <item h="1" x="37"/>
        <item h="1" x="14"/>
        <item h="1" x="31"/>
        <item h="1" x="35"/>
        <item h="1" x="3"/>
        <item h="1" x="13"/>
        <item h="1" x="18"/>
        <item h="1" x="20"/>
        <item h="1" x="39"/>
        <item h="1" x="30"/>
        <item h="1" x="40"/>
        <item h="1" x="21"/>
        <item h="1" x="32"/>
        <item h="1" x="22"/>
        <item h="1" x="17"/>
        <item h="1" x="0"/>
        <item h="1" x="10"/>
        <item h="1" x="42"/>
        <item h="1" x="24"/>
        <item h="1" x="33"/>
        <item h="1" x="26"/>
        <item h="1" x="27"/>
        <item h="1" x="8"/>
        <item h="1" x="25"/>
        <item h="1" x="38"/>
        <item h="1" x="19"/>
        <item h="1" x="6"/>
        <item h="1" x="43"/>
        <item h="1" x="12"/>
        <item h="1" x="2"/>
        <item h="1" x="34"/>
        <item h="1" x="23"/>
        <item h="1" x="41"/>
        <item h="1" x="15"/>
        <item h="1" x="28"/>
        <item h="1" x="16"/>
        <item t="default"/>
      </items>
    </pivotField>
    <pivotField showAll="0">
      <items count="6">
        <item x="1"/>
        <item x="3"/>
        <item x="0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Moyenne de DISCOUNT %" fld="8" subtotal="average" baseField="9" baseItem="1759730168" numFmtId="2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C04B4-E56F-467D-A6DB-5598FC1D6D66}" name="Tableau croisé dynamique10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AH3:AI4" firstHeaderRow="0" firstDataRow="1" firstDataCol="0"/>
  <pivotFields count="20">
    <pivotField dataField="1" numFmtId="14" showAll="0">
      <items count="375">
        <item x="0"/>
        <item x="2"/>
        <item x="6"/>
        <item x="8"/>
        <item x="4"/>
        <item x="15"/>
        <item x="18"/>
        <item x="19"/>
        <item x="9"/>
        <item x="21"/>
        <item x="5"/>
        <item x="10"/>
        <item x="1"/>
        <item x="24"/>
        <item x="7"/>
        <item x="17"/>
        <item x="23"/>
        <item x="16"/>
        <item x="12"/>
        <item x="11"/>
        <item x="22"/>
        <item x="14"/>
        <item x="25"/>
        <item x="20"/>
        <item x="26"/>
        <item x="3"/>
        <item x="1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45">
        <item h="1" x="1"/>
        <item h="1" x="29"/>
        <item h="1" x="4"/>
        <item h="1" x="5"/>
        <item x="7"/>
        <item h="1" x="9"/>
        <item h="1" x="36"/>
        <item h="1" x="11"/>
        <item h="1" x="37"/>
        <item h="1" x="14"/>
        <item h="1" x="31"/>
        <item h="1" x="35"/>
        <item h="1" x="3"/>
        <item h="1" x="13"/>
        <item h="1" x="18"/>
        <item h="1" x="20"/>
        <item h="1" x="39"/>
        <item h="1" x="30"/>
        <item h="1" x="40"/>
        <item h="1" x="21"/>
        <item h="1" x="32"/>
        <item h="1" x="22"/>
        <item h="1" x="17"/>
        <item h="1" x="0"/>
        <item h="1" x="10"/>
        <item h="1" x="42"/>
        <item h="1" x="24"/>
        <item h="1" x="33"/>
        <item h="1" x="26"/>
        <item h="1" x="27"/>
        <item h="1" x="8"/>
        <item h="1" x="25"/>
        <item h="1" x="38"/>
        <item h="1" x="19"/>
        <item h="1" x="6"/>
        <item h="1" x="43"/>
        <item h="1" x="12"/>
        <item h="1" x="2"/>
        <item h="1" x="34"/>
        <item h="1" x="23"/>
        <item h="1" x="41"/>
        <item h="1" x="15"/>
        <item h="1" x="28"/>
        <item h="1" x="16"/>
        <item t="default"/>
      </items>
    </pivotField>
    <pivotField showAll="0">
      <items count="6">
        <item x="1"/>
        <item x="3"/>
        <item x="0"/>
        <item x="4"/>
        <item x="2"/>
        <item t="default"/>
      </items>
    </pivotField>
    <pivotField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omme de QUANTITY" fld="5" baseField="0" baseItem="1"/>
    <dataField name="Nombre de Transaction" fld="0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F9C93-DCD8-4D4C-864C-B155BB87C56A}" name="Tableau croisé dynamique5" cacheId="0" applyNumberFormats="0" applyBorderFormats="0" applyFontFormats="0" applyPatternFormats="0" applyAlignmentFormats="0" applyWidthHeightFormats="1" dataCaption="Valeurs" missingCaption="Année de Base" updatedVersion="8" minRefreshableVersion="3" useAutoFormatting="1" rowGrandTotals="0" colGrandTotals="0" itemPrintTitles="1" createdVersion="8" indent="0" outline="1" outlineData="1" multipleFieldFilters="0" chartFormat="4">
  <location ref="U3:V7" firstHeaderRow="1" firstDataRow="1" firstDataCol="1"/>
  <pivotFields count="20">
    <pivotField numFmtId="14" showAll="0">
      <items count="375">
        <item x="0"/>
        <item x="2"/>
        <item x="6"/>
        <item x="8"/>
        <item x="4"/>
        <item x="15"/>
        <item x="18"/>
        <item x="19"/>
        <item x="9"/>
        <item x="21"/>
        <item x="5"/>
        <item x="10"/>
        <item x="1"/>
        <item x="24"/>
        <item x="7"/>
        <item x="17"/>
        <item x="23"/>
        <item x="16"/>
        <item x="12"/>
        <item x="11"/>
        <item x="22"/>
        <item x="14"/>
        <item x="25"/>
        <item x="20"/>
        <item x="26"/>
        <item x="3"/>
        <item x="1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showAll="0">
      <items count="3">
        <item h="1" x="0"/>
        <item x="1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6">
        <item x="1"/>
        <item x="3"/>
        <item h="1" x="0"/>
        <item x="4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4">
    <i>
      <x/>
    </i>
    <i>
      <x v="1"/>
    </i>
    <i>
      <x v="3"/>
    </i>
    <i>
      <x v="4"/>
    </i>
  </rowItems>
  <colItems count="1">
    <i/>
  </colItems>
  <dataFields count="1">
    <dataField name="Contribution Categorie" fld="14" showDataAs="percentOfTotal" baseField="10" baseItem="0" numFmtId="10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9E0BB-CEDB-40DF-8D58-76FEB19191A3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P3:S196" firstHeaderRow="0" firstDataRow="1" firstDataCol="1"/>
  <pivotFields count="20">
    <pivotField axis="axisRow" numFmtId="14" showAll="0">
      <items count="375">
        <item x="0"/>
        <item x="2"/>
        <item x="6"/>
        <item x="8"/>
        <item x="4"/>
        <item x="15"/>
        <item x="18"/>
        <item x="19"/>
        <item x="9"/>
        <item x="21"/>
        <item x="5"/>
        <item x="10"/>
        <item x="1"/>
        <item x="24"/>
        <item x="7"/>
        <item x="17"/>
        <item x="23"/>
        <item x="16"/>
        <item x="12"/>
        <item x="11"/>
        <item x="22"/>
        <item x="14"/>
        <item x="25"/>
        <item x="20"/>
        <item x="26"/>
        <item x="3"/>
        <item x="1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showAll="0">
      <items count="3">
        <item h="1" x="0"/>
        <item x="1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6">
        <item x="1"/>
        <item x="3"/>
        <item x="0"/>
        <item x="4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193"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A" fld="14" baseField="0" baseItem="1"/>
    <dataField name="Coût d'achat" fld="15" baseField="0" baseItem="47"/>
    <dataField name="Bénefice" fld="16" baseField="0" baseItem="105"/>
  </dataFields>
  <chartFormats count="3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880EE6C-9BB9-4169-88AF-FF991015123C}" autoFormatId="16" applyNumberFormats="0" applyBorderFormats="0" applyFontFormats="0" applyPatternFormats="0" applyAlignmentFormats="0" applyWidthHeightFormats="0">
  <queryTableRefresh nextId="18" unboundColumnsRight="3">
    <queryTableFields count="17">
      <queryTableField id="1" name="DATE" tableColumnId="12"/>
      <queryTableField id="15" dataBound="0" tableColumnId="16"/>
      <queryTableField id="16" dataBound="0" tableColumnId="17"/>
      <queryTableField id="17" dataBound="0" tableColumnId="18"/>
      <queryTableField id="2" name="PRODUCT ID" tableColumnId="2"/>
      <queryTableField id="3" name="QUANTITY" tableColumnId="3"/>
      <queryTableField id="4" name="SALE TYPE" tableColumnId="4"/>
      <queryTableField id="5" name="PAYMENT MODE" tableColumnId="5"/>
      <queryTableField id="6" name="DISCOUNT %" tableColumnId="6"/>
      <queryTableField id="7" name="BD_2.PRODUCT" tableColumnId="7"/>
      <queryTableField id="8" name="BD_2.CATEGORY" tableColumnId="8"/>
      <queryTableField id="9" name="BD_2.MESURE" tableColumnId="9"/>
      <queryTableField id="10" name="BD_2.BUYING PRIZE" tableColumnId="10"/>
      <queryTableField id="11" name="BD_2.SELLING PRICE" tableColumnId="11"/>
      <queryTableField id="12" dataBound="0" tableColumnId="13"/>
      <queryTableField id="13" dataBound="0" tableColumnId="14"/>
      <queryTableField id="14" dataBound="0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" xr10:uid="{E907D8DD-D52E-43A6-BE40-BC2E101FC91E}" sourceName="Année">
  <pivotTables>
    <pivotTable tabId="9" name="Tableau croisé dynamique1"/>
    <pivotTable tabId="9" name="Tableau croisé dynamique4"/>
    <pivotTable tabId="9" name="Tableau croisé dynamique5"/>
    <pivotTable tabId="9" name="Tableau croisé dynamique11"/>
    <pivotTable tabId="9" name="Tableau croisé dynamique17"/>
  </pivotTables>
  <data>
    <tabular pivotCacheId="898463668">
      <items count="2">
        <i x="0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is" xr10:uid="{E272EFD5-19AD-4366-9E67-A04E8D420D63}" sourceName="Mois">
  <pivotTables>
    <pivotTable tabId="9" name="Tableau croisé dynamique1"/>
    <pivotTable tabId="9" name="Tableau croisé dynamique2"/>
    <pivotTable tabId="9" name="Tableau croisé dynamique4"/>
    <pivotTable tabId="9" name="Tableau croisé dynamique5"/>
    <pivotTable tabId="9" name="Tableau croisé dynamique6"/>
    <pivotTable tabId="9" name="Tableau croisé dynamique7"/>
    <pivotTable tabId="9" name="Tableau croisé dynamique8"/>
    <pivotTable tabId="9" name="Tableau croisé dynamique9"/>
    <pivotTable tabId="9" name="Tableau croisé dynamique10"/>
    <pivotTable tabId="9" name="Tableau croisé dynamique11"/>
    <pivotTable tabId="9" name="Tableau croisé dynamique17"/>
  </pivotTables>
  <data>
    <tabular pivotCacheId="898463668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ALE_TYPE" xr10:uid="{64B6A979-5C76-4427-A524-E8817F48DCF2}" sourceName="SALE TYPE">
  <pivotTables>
    <pivotTable tabId="9" name="Tableau croisé dynamique1"/>
    <pivotTable tabId="9" name="Tableau croisé dynamique2"/>
    <pivotTable tabId="9" name="Tableau croisé dynamique4"/>
    <pivotTable tabId="9" name="Tableau croisé dynamique5"/>
    <pivotTable tabId="9" name="Tableau croisé dynamique6"/>
    <pivotTable tabId="9" name="Tableau croisé dynamique7"/>
    <pivotTable tabId="9" name="Tableau croisé dynamique8"/>
    <pivotTable tabId="9" name="Tableau croisé dynamique9"/>
    <pivotTable tabId="9" name="Tableau croisé dynamique10"/>
    <pivotTable tabId="9" name="Tableau croisé dynamique11"/>
    <pivotTable tabId="9" name="Tableau croisé dynamique17"/>
  </pivotTables>
  <data>
    <tabular pivotCacheId="898463668">
      <items count="3">
        <i x="2" s="1"/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BD_2.CATEGORY" xr10:uid="{0A5860E1-C4E3-41B1-BA38-502CA1617A9D}" sourceName="BD_2.CATEGORY">
  <pivotTables>
    <pivotTable tabId="9" name="Tableau croisé dynamique1"/>
    <pivotTable tabId="9" name="Tableau croisé dynamique2"/>
    <pivotTable tabId="9" name="Tableau croisé dynamique4"/>
    <pivotTable tabId="9" name="Tableau croisé dynamique6"/>
    <pivotTable tabId="9" name="Tableau croisé dynamique7"/>
    <pivotTable tabId="9" name="Tableau croisé dynamique8"/>
    <pivotTable tabId="9" name="Tableau croisé dynamique9"/>
    <pivotTable tabId="9" name="Tableau croisé dynamique10"/>
  </pivotTables>
  <data>
    <tabular pivotCacheId="898463668">
      <items count="5">
        <i x="1" s="1"/>
        <i x="3" s="1"/>
        <i x="0" s="1"/>
        <i x="4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BD_2.PRODUCT" xr10:uid="{04546C37-2D22-4260-AF00-73D827119B79}" sourceName="BD_2.PRODUCT">
  <pivotTables>
    <pivotTable tabId="9" name="Tableau croisé dynamique6"/>
    <pivotTable tabId="9" name="Tableau croisé dynamique7"/>
    <pivotTable tabId="9" name="Tableau croisé dynamique8"/>
    <pivotTable tabId="9" name="Tableau croisé dynamique9"/>
    <pivotTable tabId="9" name="Tableau croisé dynamique10"/>
  </pivotTables>
  <data>
    <tabular pivotCacheId="898463668">
      <items count="44">
        <i x="1"/>
        <i x="29"/>
        <i x="4"/>
        <i x="5"/>
        <i x="7" s="1"/>
        <i x="9"/>
        <i x="36"/>
        <i x="11"/>
        <i x="37"/>
        <i x="14"/>
        <i x="31"/>
        <i x="35"/>
        <i x="3"/>
        <i x="13"/>
        <i x="18"/>
        <i x="20"/>
        <i x="39"/>
        <i x="30"/>
        <i x="40"/>
        <i x="21"/>
        <i x="32"/>
        <i x="22"/>
        <i x="17"/>
        <i x="0"/>
        <i x="10"/>
        <i x="42"/>
        <i x="24"/>
        <i x="33"/>
        <i x="26"/>
        <i x="27"/>
        <i x="8"/>
        <i x="25"/>
        <i x="38"/>
        <i x="19"/>
        <i x="6"/>
        <i x="43"/>
        <i x="12"/>
        <i x="2"/>
        <i x="34"/>
        <i x="23"/>
        <i x="41"/>
        <i x="15"/>
        <i x="28"/>
        <i x="16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AYMENT_MODE" xr10:uid="{DF9637C5-0657-4680-98A7-DA716CF2B01E}" sourceName="PAYMENT MODE">
  <pivotTables>
    <pivotTable tabId="9" name="Tableau croisé dynamique1"/>
    <pivotTable tabId="9" name="Tableau croisé dynamique2"/>
    <pivotTable tabId="9" name="Tableau croisé dynamique4"/>
    <pivotTable tabId="9" name="Tableau croisé dynamique5"/>
    <pivotTable tabId="9" name="Tableau croisé dynamique6"/>
    <pivotTable tabId="9" name="Tableau croisé dynamique7"/>
    <pivotTable tabId="9" name="Tableau croisé dynamique8"/>
    <pivotTable tabId="9" name="Tableau croisé dynamique9"/>
    <pivotTable tabId="9" name="Tableau croisé dynamique10"/>
    <pivotTable tabId="9" name="Tableau croisé dynamique11"/>
    <pivotTable tabId="9" name="Tableau croisé dynamique17"/>
  </pivotTables>
  <data>
    <tabular pivotCacheId="898463668">
      <items count="2"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ée" xr10:uid="{C95E595C-A2C8-4F85-B82B-4E958C2A34F2}" cache="Segment_Année" caption="Année" showCaption="0" rowHeight="234950"/>
  <slicer name="Mois" xr10:uid="{863BA59C-D2BA-44F6-B4B2-8ED23570C4C2}" cache="Segment_Mois" caption="Mois" columnCount="2" showCaption="0" rowHeight="234950"/>
  <slicer name="SALE TYPE" xr10:uid="{50E20FB1-BAA2-4C0F-AAB9-DA5D0712BCEC}" cache="Segment_SALE_TYPE" caption="SALE TYPE" showCaption="0" rowHeight="234950"/>
  <slicer name="BD_2.CATEGORY" xr10:uid="{16E45576-98C6-4FB9-A00B-2ACDE1F7DDBC}" cache="Segment_BD_2.CATEGORY" caption="BD_2.CATEGORY" showCaption="0" rowHeight="234950"/>
  <slicer name="BD_2.PRODUCT" xr10:uid="{635CEE4B-39EE-4BE8-BA4A-A96EF0B6546F}" cache="Segment_BD_2.PRODUCT" caption="BD_2.PRODUCT" columnCount="2" showCaption="0" rowHeight="234950"/>
  <slicer name="PAYMENT MODE" xr10:uid="{98D2ED3E-099D-42A2-863E-EE9794302C77}" cache="Segment_PAYMENT_MODE" caption="PAYMENT MODE" showCaption="0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3DC6C7-BFD6-490A-920A-C31B2ACD0CF6}" name="Base_ventes" displayName="Base_ventes" ref="A1:Q528" tableType="queryTable" totalsRowShown="0">
  <autoFilter ref="A1:Q528" xr:uid="{5B3DC6C7-BFD6-490A-920A-C31B2ACD0CF6}"/>
  <tableColumns count="17">
    <tableColumn id="12" xr3:uid="{A7FBAC65-CF92-41BD-B2A9-3EB0E59701B3}" uniqueName="12" name="DATE" queryTableFieldId="1" dataDxfId="14"/>
    <tableColumn id="16" xr3:uid="{7974B63E-6BBA-4D33-8A92-243C050B4B0D}" uniqueName="16" name="Année" queryTableFieldId="15" dataDxfId="13">
      <calculatedColumnFormula>YEAR(Base_ventes[[#This Row],[DATE]])</calculatedColumnFormula>
    </tableColumn>
    <tableColumn id="17" xr3:uid="{FF9AECE6-683F-4659-A807-8CF323A11156}" uniqueName="17" name="Mois num" queryTableFieldId="16" dataDxfId="12">
      <calculatedColumnFormula>MONTH(Base_ventes[[#This Row],[DATE]])</calculatedColumnFormula>
    </tableColumn>
    <tableColumn id="18" xr3:uid="{C6C38C16-8DA4-46C0-9F08-DE56556C79A1}" uniqueName="18" name="Mois" queryTableFieldId="17" dataDxfId="11">
      <calculatedColumnFormula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calculatedColumnFormula>
    </tableColumn>
    <tableColumn id="2" xr3:uid="{E1685496-5B43-4139-98BE-F98660BE41DA}" uniqueName="2" name="PRODUCT ID" queryTableFieldId="2" dataDxfId="10"/>
    <tableColumn id="3" xr3:uid="{457BD256-B31F-4DC5-8893-746BED8F9A68}" uniqueName="3" name="QUANTITY" queryTableFieldId="3"/>
    <tableColumn id="4" xr3:uid="{5E560D7E-4D9D-4F63-A003-9528C035384F}" uniqueName="4" name="SALE TYPE" queryTableFieldId="4" dataDxfId="9"/>
    <tableColumn id="5" xr3:uid="{1646A27F-515A-45E3-938D-A889D7825771}" uniqueName="5" name="PAYMENT MODE" queryTableFieldId="5" dataDxfId="8"/>
    <tableColumn id="6" xr3:uid="{393EFC58-979F-41CC-A30B-B8F5A9AB5502}" uniqueName="6" name="DISCOUNT %" queryTableFieldId="6"/>
    <tableColumn id="7" xr3:uid="{F33ABCE2-852E-4175-99AA-76602D320497}" uniqueName="7" name="BD_2.PRODUCT" queryTableFieldId="7" dataDxfId="7"/>
    <tableColumn id="8" xr3:uid="{B20E6D81-997C-4F4F-AD5E-8FE267B89BC9}" uniqueName="8" name="BD_2.CATEGORY" queryTableFieldId="8" dataDxfId="6"/>
    <tableColumn id="9" xr3:uid="{8C926ABD-9E20-457E-9C47-71FEC1E74052}" uniqueName="9" name="BD_2.MESURE" queryTableFieldId="9" dataDxfId="5"/>
    <tableColumn id="10" xr3:uid="{9A1442F1-44B0-4552-8F44-EEE0CFBC2694}" uniqueName="10" name="BD_2.BUYING PRIZE" queryTableFieldId="10"/>
    <tableColumn id="11" xr3:uid="{A15E9843-CC7F-4BE5-98CD-09B36762A4AF}" uniqueName="11" name="BD_2.SELLING PRICE" queryTableFieldId="11"/>
    <tableColumn id="13" xr3:uid="{31D99E09-4888-45D4-8FED-97110CF4C452}" uniqueName="13" name="Montant Vendu" queryTableFieldId="12" dataDxfId="4">
      <calculatedColumnFormula>Base_ventes[[#This Row],[BD_2.SELLING PRICE]]*Base_ventes[[#This Row],[QUANTITY]]</calculatedColumnFormula>
    </tableColumn>
    <tableColumn id="14" xr3:uid="{A3BB55B5-1F9B-4F19-8D73-8482DAEE7AEA}" uniqueName="14" name="Montant Acheté" queryTableFieldId="13" dataDxfId="3">
      <calculatedColumnFormula>Base_ventes[[#This Row],[BD_2.BUYING PRIZE]]*Base_ventes[[#This Row],[QUANTITY]]</calculatedColumnFormula>
    </tableColumn>
    <tableColumn id="15" xr3:uid="{FB2A64DE-F960-4907-AAE9-E937508E355F}" uniqueName="15" name="Benefice" queryTableFieldId="14" dataDxfId="2">
      <calculatedColumnFormula>Base_ventes[[#This Row],[Montant Vendu]]-Base_ventes[[#This Row],[Montant Acheté]]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A233-8657-455B-9462-C1C91EB92173}">
  <dimension ref="A1:XFC9"/>
  <sheetViews>
    <sheetView tabSelected="1" workbookViewId="0">
      <pane ySplit="16" topLeftCell="A17" activePane="bottomLeft" state="frozen"/>
      <selection pane="bottomLeft" activeCell="F26" sqref="F26"/>
    </sheetView>
  </sheetViews>
  <sheetFormatPr baseColWidth="10" defaultColWidth="0" defaultRowHeight="14.4" x14ac:dyDescent="0.3"/>
  <cols>
    <col min="1" max="1" width="2.44140625" style="2" customWidth="1"/>
    <col min="2" max="2" width="11.5546875" style="4" customWidth="1"/>
    <col min="3" max="10" width="11.5546875" style="2" customWidth="1"/>
    <col min="11" max="11" width="12.109375" style="2" customWidth="1"/>
    <col min="12" max="13" width="11.5546875" style="2" customWidth="1"/>
    <col min="14" max="14" width="11.5546875" style="5" customWidth="1"/>
    <col min="15" max="15" width="4.5546875" style="2" customWidth="1"/>
    <col min="16" max="16" width="11.5546875" style="2" hidden="1"/>
    <col min="17" max="16378" width="11.5546875" hidden="1"/>
    <col min="16379" max="16379" width="10.88671875" hidden="1"/>
    <col min="16380" max="16380" width="17.5546875" hidden="1"/>
    <col min="16381" max="16381" width="29" hidden="1"/>
    <col min="16382" max="16382" width="9.77734375" hidden="1"/>
    <col min="16383" max="16383" width="6.33203125" hidden="1"/>
    <col min="16384" max="16384" width="29.21875" hidden="1"/>
  </cols>
  <sheetData>
    <row r="1" spans="2:14" ht="7.2" customHeight="1" x14ac:dyDescent="0.3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2:14" x14ac:dyDescent="0.3">
      <c r="D2" s="5"/>
      <c r="E2" s="6"/>
      <c r="K2" s="8"/>
      <c r="L2" s="4"/>
    </row>
    <row r="3" spans="2:14" x14ac:dyDescent="0.3">
      <c r="D3" s="5"/>
      <c r="E3" s="7"/>
      <c r="K3" s="9"/>
      <c r="L3" s="4"/>
    </row>
    <row r="4" spans="2:14" x14ac:dyDescent="0.3">
      <c r="D4" s="5"/>
      <c r="E4" s="7"/>
      <c r="F4" s="10"/>
      <c r="K4" s="9"/>
      <c r="L4" s="4"/>
    </row>
    <row r="5" spans="2:14" x14ac:dyDescent="0.3">
      <c r="D5" s="5"/>
      <c r="E5" s="7"/>
      <c r="K5" s="9"/>
      <c r="L5" s="4"/>
    </row>
    <row r="6" spans="2:14" ht="15" thickBot="1" x14ac:dyDescent="0.35">
      <c r="B6" s="11"/>
      <c r="C6" s="12"/>
      <c r="D6" s="13"/>
      <c r="E6" s="14"/>
      <c r="F6" s="12"/>
      <c r="G6" s="12"/>
      <c r="H6" s="12"/>
      <c r="I6" s="12"/>
      <c r="J6" s="12"/>
      <c r="K6" s="15"/>
      <c r="L6" s="11"/>
      <c r="M6" s="12"/>
      <c r="N6" s="13"/>
    </row>
    <row r="7" spans="2:14" ht="15" thickTop="1" x14ac:dyDescent="0.3">
      <c r="B7" s="21" t="s">
        <v>117</v>
      </c>
      <c r="C7" s="22"/>
      <c r="D7" s="23"/>
      <c r="E7" s="29" t="s">
        <v>116</v>
      </c>
      <c r="F7" s="30"/>
      <c r="G7" s="27" t="s">
        <v>115</v>
      </c>
      <c r="H7" s="22"/>
      <c r="I7" s="23"/>
      <c r="J7" s="33" t="s">
        <v>118</v>
      </c>
      <c r="K7" s="34"/>
      <c r="L7" s="27" t="s">
        <v>119</v>
      </c>
      <c r="M7" s="22"/>
      <c r="N7" s="37"/>
    </row>
    <row r="8" spans="2:14" ht="15" thickBot="1" x14ac:dyDescent="0.35">
      <c r="B8" s="24"/>
      <c r="C8" s="25"/>
      <c r="D8" s="26"/>
      <c r="E8" s="31"/>
      <c r="F8" s="32"/>
      <c r="G8" s="28"/>
      <c r="H8" s="25"/>
      <c r="I8" s="26"/>
      <c r="J8" s="35"/>
      <c r="K8" s="36"/>
      <c r="L8" s="28"/>
      <c r="M8" s="25"/>
      <c r="N8" s="38"/>
    </row>
    <row r="9" spans="2:14" ht="15" thickTop="1" x14ac:dyDescent="0.3"/>
  </sheetData>
  <mergeCells count="5">
    <mergeCell ref="B7:D8"/>
    <mergeCell ref="G7:I8"/>
    <mergeCell ref="E7:F8"/>
    <mergeCell ref="J7:K8"/>
    <mergeCell ref="L7:N8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8259E-672F-43CA-BAA8-CAC4058251AD}">
  <dimension ref="A1:Q528"/>
  <sheetViews>
    <sheetView workbookViewId="0">
      <selection activeCell="I10" sqref="I10"/>
    </sheetView>
  </sheetViews>
  <sheetFormatPr baseColWidth="10" defaultRowHeight="14.4" x14ac:dyDescent="0.3"/>
  <cols>
    <col min="1" max="1" width="10.5546875" bestFit="1" customWidth="1"/>
    <col min="2" max="2" width="8.6640625" bestFit="1" customWidth="1"/>
    <col min="3" max="3" width="11.6640625" bestFit="1" customWidth="1"/>
    <col min="4" max="4" width="9.77734375" bestFit="1" customWidth="1"/>
    <col min="5" max="5" width="13.6640625" bestFit="1" customWidth="1"/>
    <col min="6" max="6" width="12" bestFit="1" customWidth="1"/>
    <col min="7" max="7" width="11.88671875" bestFit="1" customWidth="1"/>
    <col min="8" max="8" width="17.44140625" bestFit="1" customWidth="1"/>
    <col min="9" max="9" width="14" bestFit="1" customWidth="1"/>
    <col min="10" max="10" width="16.33203125" bestFit="1" customWidth="1"/>
    <col min="11" max="11" width="17.109375" bestFit="1" customWidth="1"/>
    <col min="12" max="12" width="15.33203125" bestFit="1" customWidth="1"/>
    <col min="13" max="13" width="20" bestFit="1" customWidth="1"/>
    <col min="14" max="14" width="20.44140625" bestFit="1" customWidth="1"/>
    <col min="15" max="15" width="16.6640625" bestFit="1" customWidth="1"/>
    <col min="16" max="16" width="17" bestFit="1" customWidth="1"/>
    <col min="17" max="17" width="10.44140625" bestFit="1" customWidth="1"/>
  </cols>
  <sheetData>
    <row r="1" spans="1:17" x14ac:dyDescent="0.3">
      <c r="A1" t="s">
        <v>71</v>
      </c>
      <c r="B1" t="s">
        <v>123</v>
      </c>
      <c r="C1" t="s">
        <v>125</v>
      </c>
      <c r="D1" t="s">
        <v>124</v>
      </c>
      <c r="E1" t="s">
        <v>0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112</v>
      </c>
      <c r="P1" t="s">
        <v>113</v>
      </c>
      <c r="Q1" t="s">
        <v>114</v>
      </c>
    </row>
    <row r="2" spans="1:17" x14ac:dyDescent="0.3">
      <c r="A2" s="1">
        <v>44197</v>
      </c>
      <c r="B2">
        <f>YEAR(Base_ventes[[#This Row],[DATE]])</f>
        <v>2021</v>
      </c>
      <c r="C2">
        <f>MONTH(Base_ventes[[#This Row],[DATE]])</f>
        <v>1</v>
      </c>
      <c r="D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" t="s">
        <v>54</v>
      </c>
      <c r="F2">
        <v>9</v>
      </c>
      <c r="G2" t="s">
        <v>81</v>
      </c>
      <c r="H2" t="s">
        <v>82</v>
      </c>
      <c r="I2">
        <v>48</v>
      </c>
      <c r="J2" t="s">
        <v>55</v>
      </c>
      <c r="K2" t="s">
        <v>47</v>
      </c>
      <c r="L2" t="s">
        <v>14</v>
      </c>
      <c r="M2">
        <v>144</v>
      </c>
      <c r="N2">
        <v>156.96</v>
      </c>
      <c r="O2">
        <f>Base_ventes[[#This Row],[BD_2.SELLING PRICE]]*Base_ventes[[#This Row],[QUANTITY]]</f>
        <v>1412.64</v>
      </c>
      <c r="P2">
        <f>Base_ventes[[#This Row],[BD_2.BUYING PRIZE]]*Base_ventes[[#This Row],[QUANTITY]]</f>
        <v>1296</v>
      </c>
      <c r="Q2">
        <f>Base_ventes[[#This Row],[Montant Vendu]]-Base_ventes[[#This Row],[Montant Acheté]]</f>
        <v>116.6400000000001</v>
      </c>
    </row>
    <row r="3" spans="1:17" x14ac:dyDescent="0.3">
      <c r="A3" s="1">
        <v>44222</v>
      </c>
      <c r="B3">
        <f>YEAR(Base_ventes[[#This Row],[DATE]])</f>
        <v>2021</v>
      </c>
      <c r="C3">
        <f>MONTH(Base_ventes[[#This Row],[DATE]])</f>
        <v>1</v>
      </c>
      <c r="D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3" t="s">
        <v>1</v>
      </c>
      <c r="F3">
        <v>7</v>
      </c>
      <c r="G3" t="s">
        <v>82</v>
      </c>
      <c r="H3" t="s">
        <v>82</v>
      </c>
      <c r="I3">
        <v>52</v>
      </c>
      <c r="J3" t="s">
        <v>2</v>
      </c>
      <c r="K3" t="s">
        <v>3</v>
      </c>
      <c r="L3" t="s">
        <v>4</v>
      </c>
      <c r="M3">
        <v>98</v>
      </c>
      <c r="N3">
        <v>103.88</v>
      </c>
      <c r="O3">
        <f>Base_ventes[[#This Row],[BD_2.SELLING PRICE]]*Base_ventes[[#This Row],[QUANTITY]]</f>
        <v>727.16</v>
      </c>
      <c r="P3">
        <f>Base_ventes[[#This Row],[BD_2.BUYING PRIZE]]*Base_ventes[[#This Row],[QUANTITY]]</f>
        <v>686</v>
      </c>
      <c r="Q3">
        <f>Base_ventes[[#This Row],[Montant Vendu]]-Base_ventes[[#This Row],[Montant Acheté]]</f>
        <v>41.159999999999968</v>
      </c>
    </row>
    <row r="4" spans="1:17" x14ac:dyDescent="0.3">
      <c r="A4" s="1">
        <v>44198</v>
      </c>
      <c r="B4">
        <f>YEAR(Base_ventes[[#This Row],[DATE]])</f>
        <v>2021</v>
      </c>
      <c r="C4">
        <f>MONTH(Base_ventes[[#This Row],[DATE]])</f>
        <v>1</v>
      </c>
      <c r="D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4" t="s">
        <v>83</v>
      </c>
      <c r="F4">
        <v>15</v>
      </c>
      <c r="G4" t="s">
        <v>82</v>
      </c>
      <c r="H4" t="s">
        <v>84</v>
      </c>
      <c r="I4">
        <v>90</v>
      </c>
      <c r="J4" t="s">
        <v>85</v>
      </c>
      <c r="K4" t="s">
        <v>86</v>
      </c>
      <c r="L4" t="s">
        <v>4</v>
      </c>
      <c r="M4">
        <v>72</v>
      </c>
      <c r="N4">
        <v>79.92</v>
      </c>
      <c r="O4">
        <f>Base_ventes[[#This Row],[BD_2.SELLING PRICE]]*Base_ventes[[#This Row],[QUANTITY]]</f>
        <v>1198.8</v>
      </c>
      <c r="P4">
        <f>Base_ventes[[#This Row],[BD_2.BUYING PRIZE]]*Base_ventes[[#This Row],[QUANTITY]]</f>
        <v>1080</v>
      </c>
      <c r="Q4">
        <f>Base_ventes[[#This Row],[Montant Vendu]]-Base_ventes[[#This Row],[Montant Acheté]]</f>
        <v>118.79999999999995</v>
      </c>
    </row>
    <row r="5" spans="1:17" x14ac:dyDescent="0.3">
      <c r="A5" s="1">
        <v>44198</v>
      </c>
      <c r="B5">
        <f>YEAR(Base_ventes[[#This Row],[DATE]])</f>
        <v>2021</v>
      </c>
      <c r="C5">
        <f>MONTH(Base_ventes[[#This Row],[DATE]])</f>
        <v>1</v>
      </c>
      <c r="D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5" t="s">
        <v>31</v>
      </c>
      <c r="F5">
        <v>6</v>
      </c>
      <c r="G5" t="s">
        <v>87</v>
      </c>
      <c r="H5" t="s">
        <v>84</v>
      </c>
      <c r="I5">
        <v>38</v>
      </c>
      <c r="J5" t="s">
        <v>32</v>
      </c>
      <c r="K5" t="s">
        <v>26</v>
      </c>
      <c r="L5" t="s">
        <v>4</v>
      </c>
      <c r="M5">
        <v>112</v>
      </c>
      <c r="N5">
        <v>122.08</v>
      </c>
      <c r="O5">
        <f>Base_ventes[[#This Row],[BD_2.SELLING PRICE]]*Base_ventes[[#This Row],[QUANTITY]]</f>
        <v>732.48</v>
      </c>
      <c r="P5">
        <f>Base_ventes[[#This Row],[BD_2.BUYING PRIZE]]*Base_ventes[[#This Row],[QUANTITY]]</f>
        <v>672</v>
      </c>
      <c r="Q5">
        <f>Base_ventes[[#This Row],[Montant Vendu]]-Base_ventes[[#This Row],[Montant Acheté]]</f>
        <v>60.480000000000018</v>
      </c>
    </row>
    <row r="6" spans="1:17" x14ac:dyDescent="0.3">
      <c r="A6" s="1">
        <v>44249</v>
      </c>
      <c r="B6">
        <f>YEAR(Base_ventes[[#This Row],[DATE]])</f>
        <v>2021</v>
      </c>
      <c r="C6">
        <f>MONTH(Base_ventes[[#This Row],[DATE]])</f>
        <v>2</v>
      </c>
      <c r="D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6" t="s">
        <v>31</v>
      </c>
      <c r="F6">
        <v>5</v>
      </c>
      <c r="G6" t="s">
        <v>82</v>
      </c>
      <c r="H6" t="s">
        <v>84</v>
      </c>
      <c r="I6">
        <v>51</v>
      </c>
      <c r="J6" t="s">
        <v>32</v>
      </c>
      <c r="K6" t="s">
        <v>26</v>
      </c>
      <c r="L6" t="s">
        <v>4</v>
      </c>
      <c r="M6">
        <v>112</v>
      </c>
      <c r="N6">
        <v>122.08</v>
      </c>
      <c r="O6">
        <f>Base_ventes[[#This Row],[BD_2.SELLING PRICE]]*Base_ventes[[#This Row],[QUANTITY]]</f>
        <v>610.4</v>
      </c>
      <c r="P6">
        <f>Base_ventes[[#This Row],[BD_2.BUYING PRIZE]]*Base_ventes[[#This Row],[QUANTITY]]</f>
        <v>560</v>
      </c>
      <c r="Q6">
        <f>Base_ventes[[#This Row],[Montant Vendu]]-Base_ventes[[#This Row],[Montant Acheté]]</f>
        <v>50.399999999999977</v>
      </c>
    </row>
    <row r="7" spans="1:17" x14ac:dyDescent="0.3">
      <c r="A7" s="1">
        <v>44205</v>
      </c>
      <c r="B7">
        <f>YEAR(Base_ventes[[#This Row],[DATE]])</f>
        <v>2021</v>
      </c>
      <c r="C7">
        <f>MONTH(Base_ventes[[#This Row],[DATE]])</f>
        <v>1</v>
      </c>
      <c r="D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7" t="s">
        <v>7</v>
      </c>
      <c r="F7">
        <v>8</v>
      </c>
      <c r="G7" t="s">
        <v>87</v>
      </c>
      <c r="H7" t="s">
        <v>84</v>
      </c>
      <c r="I7">
        <v>59</v>
      </c>
      <c r="J7" t="s">
        <v>8</v>
      </c>
      <c r="K7" t="s">
        <v>3</v>
      </c>
      <c r="L7" t="s">
        <v>4</v>
      </c>
      <c r="M7">
        <v>71</v>
      </c>
      <c r="N7">
        <v>80.94</v>
      </c>
      <c r="O7">
        <f>Base_ventes[[#This Row],[BD_2.SELLING PRICE]]*Base_ventes[[#This Row],[QUANTITY]]</f>
        <v>647.52</v>
      </c>
      <c r="P7">
        <f>Base_ventes[[#This Row],[BD_2.BUYING PRIZE]]*Base_ventes[[#This Row],[QUANTITY]]</f>
        <v>568</v>
      </c>
      <c r="Q7">
        <f>Base_ventes[[#This Row],[Montant Vendu]]-Base_ventes[[#This Row],[Montant Acheté]]</f>
        <v>79.519999999999982</v>
      </c>
    </row>
    <row r="8" spans="1:17" x14ac:dyDescent="0.3">
      <c r="A8" s="1">
        <v>44217</v>
      </c>
      <c r="B8">
        <f>YEAR(Base_ventes[[#This Row],[DATE]])</f>
        <v>2021</v>
      </c>
      <c r="C8">
        <f>MONTH(Base_ventes[[#This Row],[DATE]])</f>
        <v>1</v>
      </c>
      <c r="D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8" t="s">
        <v>7</v>
      </c>
      <c r="F8">
        <v>9</v>
      </c>
      <c r="G8" t="s">
        <v>87</v>
      </c>
      <c r="H8" t="s">
        <v>82</v>
      </c>
      <c r="I8">
        <v>45</v>
      </c>
      <c r="J8" t="s">
        <v>8</v>
      </c>
      <c r="K8" t="s">
        <v>3</v>
      </c>
      <c r="L8" t="s">
        <v>4</v>
      </c>
      <c r="M8">
        <v>71</v>
      </c>
      <c r="N8">
        <v>80.94</v>
      </c>
      <c r="O8">
        <f>Base_ventes[[#This Row],[BD_2.SELLING PRICE]]*Base_ventes[[#This Row],[QUANTITY]]</f>
        <v>728.46</v>
      </c>
      <c r="P8">
        <f>Base_ventes[[#This Row],[BD_2.BUYING PRIZE]]*Base_ventes[[#This Row],[QUANTITY]]</f>
        <v>639</v>
      </c>
      <c r="Q8">
        <f>Base_ventes[[#This Row],[Montant Vendu]]-Base_ventes[[#This Row],[Montant Acheté]]</f>
        <v>89.460000000000036</v>
      </c>
    </row>
    <row r="9" spans="1:17" x14ac:dyDescent="0.3">
      <c r="A9" s="1">
        <v>44199</v>
      </c>
      <c r="B9">
        <f>YEAR(Base_ventes[[#This Row],[DATE]])</f>
        <v>2021</v>
      </c>
      <c r="C9">
        <f>MONTH(Base_ventes[[#This Row],[DATE]])</f>
        <v>1</v>
      </c>
      <c r="D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9" t="s">
        <v>9</v>
      </c>
      <c r="F9">
        <v>5</v>
      </c>
      <c r="G9" t="s">
        <v>87</v>
      </c>
      <c r="H9" t="s">
        <v>82</v>
      </c>
      <c r="I9">
        <v>81</v>
      </c>
      <c r="J9" t="s">
        <v>10</v>
      </c>
      <c r="K9" t="s">
        <v>3</v>
      </c>
      <c r="L9" t="s">
        <v>11</v>
      </c>
      <c r="M9">
        <v>44</v>
      </c>
      <c r="N9">
        <v>48.84</v>
      </c>
      <c r="O9">
        <f>Base_ventes[[#This Row],[BD_2.SELLING PRICE]]*Base_ventes[[#This Row],[QUANTITY]]</f>
        <v>244.20000000000002</v>
      </c>
      <c r="P9">
        <f>Base_ventes[[#This Row],[BD_2.BUYING PRIZE]]*Base_ventes[[#This Row],[QUANTITY]]</f>
        <v>220</v>
      </c>
      <c r="Q9">
        <f>Base_ventes[[#This Row],[Montant Vendu]]-Base_ventes[[#This Row],[Montant Acheté]]</f>
        <v>24.200000000000017</v>
      </c>
    </row>
    <row r="10" spans="1:17" x14ac:dyDescent="0.3">
      <c r="A10" s="1">
        <v>44217</v>
      </c>
      <c r="B10">
        <f>YEAR(Base_ventes[[#This Row],[DATE]])</f>
        <v>2021</v>
      </c>
      <c r="C10">
        <f>MONTH(Base_ventes[[#This Row],[DATE]])</f>
        <v>1</v>
      </c>
      <c r="D1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10" t="s">
        <v>9</v>
      </c>
      <c r="F10">
        <v>15</v>
      </c>
      <c r="G10" t="s">
        <v>81</v>
      </c>
      <c r="H10" t="s">
        <v>84</v>
      </c>
      <c r="I10">
        <v>33</v>
      </c>
      <c r="J10" t="s">
        <v>10</v>
      </c>
      <c r="K10" t="s">
        <v>3</v>
      </c>
      <c r="L10" t="s">
        <v>11</v>
      </c>
      <c r="M10">
        <v>44</v>
      </c>
      <c r="N10">
        <v>48.84</v>
      </c>
      <c r="O10">
        <f>Base_ventes[[#This Row],[BD_2.SELLING PRICE]]*Base_ventes[[#This Row],[QUANTITY]]</f>
        <v>732.6</v>
      </c>
      <c r="P10">
        <f>Base_ventes[[#This Row],[BD_2.BUYING PRIZE]]*Base_ventes[[#This Row],[QUANTITY]]</f>
        <v>660</v>
      </c>
      <c r="Q10">
        <f>Base_ventes[[#This Row],[Montant Vendu]]-Base_ventes[[#This Row],[Montant Acheté]]</f>
        <v>72.600000000000023</v>
      </c>
    </row>
    <row r="11" spans="1:17" x14ac:dyDescent="0.3">
      <c r="A11" s="1">
        <v>44224</v>
      </c>
      <c r="B11">
        <f>YEAR(Base_ventes[[#This Row],[DATE]])</f>
        <v>2021</v>
      </c>
      <c r="C11">
        <f>MONTH(Base_ventes[[#This Row],[DATE]])</f>
        <v>1</v>
      </c>
      <c r="D1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11" t="s">
        <v>9</v>
      </c>
      <c r="F11">
        <v>10</v>
      </c>
      <c r="G11" t="s">
        <v>82</v>
      </c>
      <c r="H11" t="s">
        <v>84</v>
      </c>
      <c r="I11">
        <v>50</v>
      </c>
      <c r="J11" t="s">
        <v>10</v>
      </c>
      <c r="K11" t="s">
        <v>3</v>
      </c>
      <c r="L11" t="s">
        <v>11</v>
      </c>
      <c r="M11">
        <v>44</v>
      </c>
      <c r="N11">
        <v>48.84</v>
      </c>
      <c r="O11">
        <f>Base_ventes[[#This Row],[BD_2.SELLING PRICE]]*Base_ventes[[#This Row],[QUANTITY]]</f>
        <v>488.40000000000003</v>
      </c>
      <c r="P11">
        <f>Base_ventes[[#This Row],[BD_2.BUYING PRIZE]]*Base_ventes[[#This Row],[QUANTITY]]</f>
        <v>440</v>
      </c>
      <c r="Q11">
        <f>Base_ventes[[#This Row],[Montant Vendu]]-Base_ventes[[#This Row],[Montant Acheté]]</f>
        <v>48.400000000000034</v>
      </c>
    </row>
    <row r="12" spans="1:17" x14ac:dyDescent="0.3">
      <c r="A12" s="1">
        <v>44200</v>
      </c>
      <c r="B12">
        <f>YEAR(Base_ventes[[#This Row],[DATE]])</f>
        <v>2021</v>
      </c>
      <c r="C12">
        <f>MONTH(Base_ventes[[#This Row],[DATE]])</f>
        <v>1</v>
      </c>
      <c r="D1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12" t="s">
        <v>88</v>
      </c>
      <c r="F12">
        <v>12</v>
      </c>
      <c r="G12" t="s">
        <v>82</v>
      </c>
      <c r="H12" t="s">
        <v>82</v>
      </c>
      <c r="I12">
        <v>30</v>
      </c>
      <c r="J12" t="s">
        <v>89</v>
      </c>
      <c r="K12" t="s">
        <v>60</v>
      </c>
      <c r="L12" t="s">
        <v>23</v>
      </c>
      <c r="M12">
        <v>5</v>
      </c>
      <c r="N12">
        <v>6.7</v>
      </c>
      <c r="O12">
        <f>Base_ventes[[#This Row],[BD_2.SELLING PRICE]]*Base_ventes[[#This Row],[QUANTITY]]</f>
        <v>80.400000000000006</v>
      </c>
      <c r="P12">
        <f>Base_ventes[[#This Row],[BD_2.BUYING PRIZE]]*Base_ventes[[#This Row],[QUANTITY]]</f>
        <v>60</v>
      </c>
      <c r="Q12">
        <f>Base_ventes[[#This Row],[Montant Vendu]]-Base_ventes[[#This Row],[Montant Acheté]]</f>
        <v>20.400000000000006</v>
      </c>
    </row>
    <row r="13" spans="1:17" x14ac:dyDescent="0.3">
      <c r="A13" s="1">
        <v>44215</v>
      </c>
      <c r="B13">
        <f>YEAR(Base_ventes[[#This Row],[DATE]])</f>
        <v>2021</v>
      </c>
      <c r="C13">
        <f>MONTH(Base_ventes[[#This Row],[DATE]])</f>
        <v>1</v>
      </c>
      <c r="D1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13" t="s">
        <v>88</v>
      </c>
      <c r="F13">
        <v>6</v>
      </c>
      <c r="G13" t="s">
        <v>87</v>
      </c>
      <c r="H13" t="s">
        <v>84</v>
      </c>
      <c r="I13">
        <v>49</v>
      </c>
      <c r="J13" t="s">
        <v>89</v>
      </c>
      <c r="K13" t="s">
        <v>60</v>
      </c>
      <c r="L13" t="s">
        <v>23</v>
      </c>
      <c r="M13">
        <v>5</v>
      </c>
      <c r="N13">
        <v>6.7</v>
      </c>
      <c r="O13">
        <f>Base_ventes[[#This Row],[BD_2.SELLING PRICE]]*Base_ventes[[#This Row],[QUANTITY]]</f>
        <v>40.200000000000003</v>
      </c>
      <c r="P13">
        <f>Base_ventes[[#This Row],[BD_2.BUYING PRIZE]]*Base_ventes[[#This Row],[QUANTITY]]</f>
        <v>30</v>
      </c>
      <c r="Q13">
        <f>Base_ventes[[#This Row],[Montant Vendu]]-Base_ventes[[#This Row],[Montant Acheté]]</f>
        <v>10.200000000000003</v>
      </c>
    </row>
    <row r="14" spans="1:17" x14ac:dyDescent="0.3">
      <c r="A14" s="1">
        <v>44221</v>
      </c>
      <c r="B14">
        <f>YEAR(Base_ventes[[#This Row],[DATE]])</f>
        <v>2021</v>
      </c>
      <c r="C14">
        <f>MONTH(Base_ventes[[#This Row],[DATE]])</f>
        <v>1</v>
      </c>
      <c r="D1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14" t="s">
        <v>88</v>
      </c>
      <c r="F14">
        <v>7</v>
      </c>
      <c r="G14" t="s">
        <v>87</v>
      </c>
      <c r="H14" t="s">
        <v>82</v>
      </c>
      <c r="I14">
        <v>16</v>
      </c>
      <c r="J14" t="s">
        <v>89</v>
      </c>
      <c r="K14" t="s">
        <v>60</v>
      </c>
      <c r="L14" t="s">
        <v>23</v>
      </c>
      <c r="M14">
        <v>5</v>
      </c>
      <c r="N14">
        <v>6.7</v>
      </c>
      <c r="O14">
        <f>Base_ventes[[#This Row],[BD_2.SELLING PRICE]]*Base_ventes[[#This Row],[QUANTITY]]</f>
        <v>46.9</v>
      </c>
      <c r="P14">
        <f>Base_ventes[[#This Row],[BD_2.BUYING PRIZE]]*Base_ventes[[#This Row],[QUANTITY]]</f>
        <v>35</v>
      </c>
      <c r="Q14">
        <f>Base_ventes[[#This Row],[Montant Vendu]]-Base_ventes[[#This Row],[Montant Acheté]]</f>
        <v>11.899999999999999</v>
      </c>
    </row>
    <row r="15" spans="1:17" x14ac:dyDescent="0.3">
      <c r="A15" s="1">
        <v>44233</v>
      </c>
      <c r="B15">
        <f>YEAR(Base_ventes[[#This Row],[DATE]])</f>
        <v>2021</v>
      </c>
      <c r="C15">
        <f>MONTH(Base_ventes[[#This Row],[DATE]])</f>
        <v>2</v>
      </c>
      <c r="D1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15" t="s">
        <v>88</v>
      </c>
      <c r="F15">
        <v>1</v>
      </c>
      <c r="G15" t="s">
        <v>87</v>
      </c>
      <c r="H15" t="s">
        <v>84</v>
      </c>
      <c r="I15">
        <v>17</v>
      </c>
      <c r="J15" t="s">
        <v>89</v>
      </c>
      <c r="K15" t="s">
        <v>60</v>
      </c>
      <c r="L15" t="s">
        <v>23</v>
      </c>
      <c r="M15">
        <v>5</v>
      </c>
      <c r="N15">
        <v>6.7</v>
      </c>
      <c r="O15">
        <f>Base_ventes[[#This Row],[BD_2.SELLING PRICE]]*Base_ventes[[#This Row],[QUANTITY]]</f>
        <v>6.7</v>
      </c>
      <c r="P15">
        <f>Base_ventes[[#This Row],[BD_2.BUYING PRIZE]]*Base_ventes[[#This Row],[QUANTITY]]</f>
        <v>5</v>
      </c>
      <c r="Q15">
        <f>Base_ventes[[#This Row],[Montant Vendu]]-Base_ventes[[#This Row],[Montant Acheté]]</f>
        <v>1.7000000000000002</v>
      </c>
    </row>
    <row r="16" spans="1:17" x14ac:dyDescent="0.3">
      <c r="A16" s="1">
        <v>44232</v>
      </c>
      <c r="B16">
        <f>YEAR(Base_ventes[[#This Row],[DATE]])</f>
        <v>2021</v>
      </c>
      <c r="C16">
        <f>MONTH(Base_ventes[[#This Row],[DATE]])</f>
        <v>2</v>
      </c>
      <c r="D1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16" t="s">
        <v>12</v>
      </c>
      <c r="F16">
        <v>1</v>
      </c>
      <c r="G16" t="s">
        <v>87</v>
      </c>
      <c r="H16" t="s">
        <v>84</v>
      </c>
      <c r="I16">
        <v>7</v>
      </c>
      <c r="J16" t="s">
        <v>13</v>
      </c>
      <c r="K16" t="s">
        <v>3</v>
      </c>
      <c r="L16" t="s">
        <v>14</v>
      </c>
      <c r="M16">
        <v>133</v>
      </c>
      <c r="N16">
        <v>155.61000000000001</v>
      </c>
      <c r="O16">
        <f>Base_ventes[[#This Row],[BD_2.SELLING PRICE]]*Base_ventes[[#This Row],[QUANTITY]]</f>
        <v>155.61000000000001</v>
      </c>
      <c r="P16">
        <f>Base_ventes[[#This Row],[BD_2.BUYING PRIZE]]*Base_ventes[[#This Row],[QUANTITY]]</f>
        <v>133</v>
      </c>
      <c r="Q16">
        <f>Base_ventes[[#This Row],[Montant Vendu]]-Base_ventes[[#This Row],[Montant Acheté]]</f>
        <v>22.610000000000014</v>
      </c>
    </row>
    <row r="17" spans="1:17" x14ac:dyDescent="0.3">
      <c r="A17" s="1">
        <v>44205</v>
      </c>
      <c r="B17">
        <f>YEAR(Base_ventes[[#This Row],[DATE]])</f>
        <v>2021</v>
      </c>
      <c r="C17">
        <f>MONTH(Base_ventes[[#This Row],[DATE]])</f>
        <v>1</v>
      </c>
      <c r="D1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17" t="s">
        <v>69</v>
      </c>
      <c r="F17">
        <v>1</v>
      </c>
      <c r="G17" t="s">
        <v>87</v>
      </c>
      <c r="H17" t="s">
        <v>84</v>
      </c>
      <c r="I17">
        <v>46</v>
      </c>
      <c r="J17" t="s">
        <v>70</v>
      </c>
      <c r="K17" t="s">
        <v>60</v>
      </c>
      <c r="L17" t="s">
        <v>4</v>
      </c>
      <c r="M17">
        <v>93</v>
      </c>
      <c r="N17">
        <v>104.16</v>
      </c>
      <c r="O17">
        <f>Base_ventes[[#This Row],[BD_2.SELLING PRICE]]*Base_ventes[[#This Row],[QUANTITY]]</f>
        <v>104.16</v>
      </c>
      <c r="P17">
        <f>Base_ventes[[#This Row],[BD_2.BUYING PRIZE]]*Base_ventes[[#This Row],[QUANTITY]]</f>
        <v>93</v>
      </c>
      <c r="Q17">
        <f>Base_ventes[[#This Row],[Montant Vendu]]-Base_ventes[[#This Row],[Montant Acheté]]</f>
        <v>11.159999999999997</v>
      </c>
    </row>
    <row r="18" spans="1:17" x14ac:dyDescent="0.3">
      <c r="A18" s="1">
        <v>44221</v>
      </c>
      <c r="B18">
        <f>YEAR(Base_ventes[[#This Row],[DATE]])</f>
        <v>2021</v>
      </c>
      <c r="C18">
        <f>MONTH(Base_ventes[[#This Row],[DATE]])</f>
        <v>1</v>
      </c>
      <c r="D1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18" t="s">
        <v>69</v>
      </c>
      <c r="F18">
        <v>14</v>
      </c>
      <c r="G18" t="s">
        <v>87</v>
      </c>
      <c r="H18" t="s">
        <v>82</v>
      </c>
      <c r="I18">
        <v>88</v>
      </c>
      <c r="J18" t="s">
        <v>70</v>
      </c>
      <c r="K18" t="s">
        <v>60</v>
      </c>
      <c r="L18" t="s">
        <v>4</v>
      </c>
      <c r="M18">
        <v>93</v>
      </c>
      <c r="N18">
        <v>104.16</v>
      </c>
      <c r="O18">
        <f>Base_ventes[[#This Row],[BD_2.SELLING PRICE]]*Base_ventes[[#This Row],[QUANTITY]]</f>
        <v>1458.24</v>
      </c>
      <c r="P18">
        <f>Base_ventes[[#This Row],[BD_2.BUYING PRIZE]]*Base_ventes[[#This Row],[QUANTITY]]</f>
        <v>1302</v>
      </c>
      <c r="Q18">
        <f>Base_ventes[[#This Row],[Montant Vendu]]-Base_ventes[[#This Row],[Montant Acheté]]</f>
        <v>156.24</v>
      </c>
    </row>
    <row r="19" spans="1:17" x14ac:dyDescent="0.3">
      <c r="A19" s="1">
        <v>44222</v>
      </c>
      <c r="B19">
        <f>YEAR(Base_ventes[[#This Row],[DATE]])</f>
        <v>2021</v>
      </c>
      <c r="C19">
        <f>MONTH(Base_ventes[[#This Row],[DATE]])</f>
        <v>1</v>
      </c>
      <c r="D1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19" t="s">
        <v>15</v>
      </c>
      <c r="F19">
        <v>7</v>
      </c>
      <c r="G19" t="s">
        <v>82</v>
      </c>
      <c r="H19" t="s">
        <v>84</v>
      </c>
      <c r="I19">
        <v>24</v>
      </c>
      <c r="J19" t="s">
        <v>16</v>
      </c>
      <c r="K19" t="s">
        <v>3</v>
      </c>
      <c r="L19" t="s">
        <v>4</v>
      </c>
      <c r="M19">
        <v>75</v>
      </c>
      <c r="N19">
        <v>85.5</v>
      </c>
      <c r="O19">
        <f>Base_ventes[[#This Row],[BD_2.SELLING PRICE]]*Base_ventes[[#This Row],[QUANTITY]]</f>
        <v>598.5</v>
      </c>
      <c r="P19">
        <f>Base_ventes[[#This Row],[BD_2.BUYING PRIZE]]*Base_ventes[[#This Row],[QUANTITY]]</f>
        <v>525</v>
      </c>
      <c r="Q19">
        <f>Base_ventes[[#This Row],[Montant Vendu]]-Base_ventes[[#This Row],[Montant Acheté]]</f>
        <v>73.5</v>
      </c>
    </row>
    <row r="20" spans="1:17" x14ac:dyDescent="0.3">
      <c r="A20" s="1">
        <v>44205</v>
      </c>
      <c r="B20">
        <f>YEAR(Base_ventes[[#This Row],[DATE]])</f>
        <v>2021</v>
      </c>
      <c r="C20">
        <f>MONTH(Base_ventes[[#This Row],[DATE]])</f>
        <v>1</v>
      </c>
      <c r="D2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0" t="s">
        <v>56</v>
      </c>
      <c r="F20">
        <v>4</v>
      </c>
      <c r="G20" t="s">
        <v>87</v>
      </c>
      <c r="H20" t="s">
        <v>82</v>
      </c>
      <c r="I20">
        <v>24</v>
      </c>
      <c r="J20" t="s">
        <v>57</v>
      </c>
      <c r="K20" t="s">
        <v>47</v>
      </c>
      <c r="L20" t="s">
        <v>23</v>
      </c>
      <c r="M20">
        <v>7</v>
      </c>
      <c r="N20">
        <v>8.33</v>
      </c>
      <c r="O20">
        <f>Base_ventes[[#This Row],[BD_2.SELLING PRICE]]*Base_ventes[[#This Row],[QUANTITY]]</f>
        <v>33.32</v>
      </c>
      <c r="P20">
        <f>Base_ventes[[#This Row],[BD_2.BUYING PRIZE]]*Base_ventes[[#This Row],[QUANTITY]]</f>
        <v>28</v>
      </c>
      <c r="Q20">
        <f>Base_ventes[[#This Row],[Montant Vendu]]-Base_ventes[[#This Row],[Montant Acheté]]</f>
        <v>5.32</v>
      </c>
    </row>
    <row r="21" spans="1:17" x14ac:dyDescent="0.3">
      <c r="A21" s="1">
        <v>44250</v>
      </c>
      <c r="B21">
        <f>YEAR(Base_ventes[[#This Row],[DATE]])</f>
        <v>2021</v>
      </c>
      <c r="C21">
        <f>MONTH(Base_ventes[[#This Row],[DATE]])</f>
        <v>2</v>
      </c>
      <c r="D2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21" t="s">
        <v>56</v>
      </c>
      <c r="F21">
        <v>3</v>
      </c>
      <c r="G21" t="s">
        <v>87</v>
      </c>
      <c r="H21" t="s">
        <v>84</v>
      </c>
      <c r="I21">
        <v>54</v>
      </c>
      <c r="J21" t="s">
        <v>57</v>
      </c>
      <c r="K21" t="s">
        <v>47</v>
      </c>
      <c r="L21" t="s">
        <v>23</v>
      </c>
      <c r="M21">
        <v>7</v>
      </c>
      <c r="N21">
        <v>8.33</v>
      </c>
      <c r="O21">
        <f>Base_ventes[[#This Row],[BD_2.SELLING PRICE]]*Base_ventes[[#This Row],[QUANTITY]]</f>
        <v>24.990000000000002</v>
      </c>
      <c r="P21">
        <f>Base_ventes[[#This Row],[BD_2.BUYING PRIZE]]*Base_ventes[[#This Row],[QUANTITY]]</f>
        <v>21</v>
      </c>
      <c r="Q21">
        <f>Base_ventes[[#This Row],[Montant Vendu]]-Base_ventes[[#This Row],[Montant Acheté]]</f>
        <v>3.990000000000002</v>
      </c>
    </row>
    <row r="22" spans="1:17" x14ac:dyDescent="0.3">
      <c r="A22" s="1">
        <v>44239</v>
      </c>
      <c r="B22">
        <f>YEAR(Base_ventes[[#This Row],[DATE]])</f>
        <v>2021</v>
      </c>
      <c r="C22">
        <f>MONTH(Base_ventes[[#This Row],[DATE]])</f>
        <v>2</v>
      </c>
      <c r="D2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22" t="s">
        <v>19</v>
      </c>
      <c r="F22">
        <v>7</v>
      </c>
      <c r="G22" t="s">
        <v>87</v>
      </c>
      <c r="H22" t="s">
        <v>84</v>
      </c>
      <c r="I22">
        <v>77</v>
      </c>
      <c r="J22" t="s">
        <v>20</v>
      </c>
      <c r="K22" t="s">
        <v>3</v>
      </c>
      <c r="L22" t="s">
        <v>4</v>
      </c>
      <c r="M22">
        <v>83</v>
      </c>
      <c r="N22">
        <v>94.62</v>
      </c>
      <c r="O22">
        <f>Base_ventes[[#This Row],[BD_2.SELLING PRICE]]*Base_ventes[[#This Row],[QUANTITY]]</f>
        <v>662.34</v>
      </c>
      <c r="P22">
        <f>Base_ventes[[#This Row],[BD_2.BUYING PRIZE]]*Base_ventes[[#This Row],[QUANTITY]]</f>
        <v>581</v>
      </c>
      <c r="Q22">
        <f>Base_ventes[[#This Row],[Montant Vendu]]-Base_ventes[[#This Row],[Montant Acheté]]</f>
        <v>81.340000000000032</v>
      </c>
    </row>
    <row r="23" spans="1:17" x14ac:dyDescent="0.3">
      <c r="A23" s="1">
        <v>44207</v>
      </c>
      <c r="B23">
        <f>YEAR(Base_ventes[[#This Row],[DATE]])</f>
        <v>2021</v>
      </c>
      <c r="C23">
        <f>MONTH(Base_ventes[[#This Row],[DATE]])</f>
        <v>1</v>
      </c>
      <c r="D2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3" t="s">
        <v>98</v>
      </c>
      <c r="F23">
        <v>3</v>
      </c>
      <c r="G23" t="s">
        <v>87</v>
      </c>
      <c r="H23" t="s">
        <v>84</v>
      </c>
      <c r="I23">
        <v>57</v>
      </c>
      <c r="J23" t="s">
        <v>99</v>
      </c>
      <c r="K23" t="s">
        <v>86</v>
      </c>
      <c r="L23" t="s">
        <v>4</v>
      </c>
      <c r="M23">
        <v>67</v>
      </c>
      <c r="N23">
        <v>85.76</v>
      </c>
      <c r="O23">
        <f>Base_ventes[[#This Row],[BD_2.SELLING PRICE]]*Base_ventes[[#This Row],[QUANTITY]]</f>
        <v>257.28000000000003</v>
      </c>
      <c r="P23">
        <f>Base_ventes[[#This Row],[BD_2.BUYING PRIZE]]*Base_ventes[[#This Row],[QUANTITY]]</f>
        <v>201</v>
      </c>
      <c r="Q23">
        <f>Base_ventes[[#This Row],[Montant Vendu]]-Base_ventes[[#This Row],[Montant Acheté]]</f>
        <v>56.28000000000003</v>
      </c>
    </row>
    <row r="24" spans="1:17" x14ac:dyDescent="0.3">
      <c r="A24" s="1">
        <v>44231</v>
      </c>
      <c r="B24">
        <f>YEAR(Base_ventes[[#This Row],[DATE]])</f>
        <v>2021</v>
      </c>
      <c r="C24">
        <f>MONTH(Base_ventes[[#This Row],[DATE]])</f>
        <v>2</v>
      </c>
      <c r="D2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24" t="s">
        <v>98</v>
      </c>
      <c r="F24">
        <v>4</v>
      </c>
      <c r="G24" t="s">
        <v>82</v>
      </c>
      <c r="H24" t="s">
        <v>82</v>
      </c>
      <c r="I24">
        <v>46</v>
      </c>
      <c r="J24" t="s">
        <v>99</v>
      </c>
      <c r="K24" t="s">
        <v>86</v>
      </c>
      <c r="L24" t="s">
        <v>4</v>
      </c>
      <c r="M24">
        <v>67</v>
      </c>
      <c r="N24">
        <v>85.76</v>
      </c>
      <c r="O24">
        <f>Base_ventes[[#This Row],[BD_2.SELLING PRICE]]*Base_ventes[[#This Row],[QUANTITY]]</f>
        <v>343.04</v>
      </c>
      <c r="P24">
        <f>Base_ventes[[#This Row],[BD_2.BUYING PRIZE]]*Base_ventes[[#This Row],[QUANTITY]]</f>
        <v>268</v>
      </c>
      <c r="Q24">
        <f>Base_ventes[[#This Row],[Montant Vendu]]-Base_ventes[[#This Row],[Montant Acheté]]</f>
        <v>75.04000000000002</v>
      </c>
    </row>
    <row r="25" spans="1:17" x14ac:dyDescent="0.3">
      <c r="A25" s="1">
        <v>44207</v>
      </c>
      <c r="B25">
        <f>YEAR(Base_ventes[[#This Row],[DATE]])</f>
        <v>2021</v>
      </c>
      <c r="C25">
        <f>MONTH(Base_ventes[[#This Row],[DATE]])</f>
        <v>1</v>
      </c>
      <c r="D2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5" t="s">
        <v>33</v>
      </c>
      <c r="F25">
        <v>4</v>
      </c>
      <c r="G25" t="s">
        <v>81</v>
      </c>
      <c r="H25" t="s">
        <v>82</v>
      </c>
      <c r="I25">
        <v>60</v>
      </c>
      <c r="J25" t="s">
        <v>34</v>
      </c>
      <c r="K25" t="s">
        <v>26</v>
      </c>
      <c r="L25" t="s">
        <v>4</v>
      </c>
      <c r="M25">
        <v>112</v>
      </c>
      <c r="N25">
        <v>146.72</v>
      </c>
      <c r="O25">
        <f>Base_ventes[[#This Row],[BD_2.SELLING PRICE]]*Base_ventes[[#This Row],[QUANTITY]]</f>
        <v>586.88</v>
      </c>
      <c r="P25">
        <f>Base_ventes[[#This Row],[BD_2.BUYING PRIZE]]*Base_ventes[[#This Row],[QUANTITY]]</f>
        <v>448</v>
      </c>
      <c r="Q25">
        <f>Base_ventes[[#This Row],[Montant Vendu]]-Base_ventes[[#This Row],[Montant Acheté]]</f>
        <v>138.88</v>
      </c>
    </row>
    <row r="26" spans="1:17" x14ac:dyDescent="0.3">
      <c r="A26" s="1">
        <v>44229</v>
      </c>
      <c r="B26">
        <f>YEAR(Base_ventes[[#This Row],[DATE]])</f>
        <v>2021</v>
      </c>
      <c r="C26">
        <f>MONTH(Base_ventes[[#This Row],[DATE]])</f>
        <v>2</v>
      </c>
      <c r="D2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26" t="s">
        <v>24</v>
      </c>
      <c r="F26">
        <v>7</v>
      </c>
      <c r="G26" t="s">
        <v>82</v>
      </c>
      <c r="H26" t="s">
        <v>82</v>
      </c>
      <c r="I26">
        <v>61</v>
      </c>
      <c r="J26" t="s">
        <v>25</v>
      </c>
      <c r="K26" t="s">
        <v>26</v>
      </c>
      <c r="L26" t="s">
        <v>14</v>
      </c>
      <c r="M26">
        <v>148</v>
      </c>
      <c r="N26">
        <v>164.28</v>
      </c>
      <c r="O26">
        <f>Base_ventes[[#This Row],[BD_2.SELLING PRICE]]*Base_ventes[[#This Row],[QUANTITY]]</f>
        <v>1149.96</v>
      </c>
      <c r="P26">
        <f>Base_ventes[[#This Row],[BD_2.BUYING PRIZE]]*Base_ventes[[#This Row],[QUANTITY]]</f>
        <v>1036</v>
      </c>
      <c r="Q26">
        <f>Base_ventes[[#This Row],[Montant Vendu]]-Base_ventes[[#This Row],[Montant Acheté]]</f>
        <v>113.96000000000004</v>
      </c>
    </row>
    <row r="27" spans="1:17" x14ac:dyDescent="0.3">
      <c r="A27" s="1">
        <v>44207</v>
      </c>
      <c r="B27">
        <f>YEAR(Base_ventes[[#This Row],[DATE]])</f>
        <v>2021</v>
      </c>
      <c r="C27">
        <f>MONTH(Base_ventes[[#This Row],[DATE]])</f>
        <v>1</v>
      </c>
      <c r="D2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7" t="s">
        <v>106</v>
      </c>
      <c r="F27">
        <v>4</v>
      </c>
      <c r="G27" t="s">
        <v>87</v>
      </c>
      <c r="H27" t="s">
        <v>82</v>
      </c>
      <c r="I27">
        <v>30</v>
      </c>
      <c r="J27" t="s">
        <v>107</v>
      </c>
      <c r="K27" t="s">
        <v>86</v>
      </c>
      <c r="L27" t="s">
        <v>14</v>
      </c>
      <c r="M27">
        <v>120</v>
      </c>
      <c r="N27">
        <v>162</v>
      </c>
      <c r="O27">
        <f>Base_ventes[[#This Row],[BD_2.SELLING PRICE]]*Base_ventes[[#This Row],[QUANTITY]]</f>
        <v>648</v>
      </c>
      <c r="P27">
        <f>Base_ventes[[#This Row],[BD_2.BUYING PRIZE]]*Base_ventes[[#This Row],[QUANTITY]]</f>
        <v>480</v>
      </c>
      <c r="Q27">
        <f>Base_ventes[[#This Row],[Montant Vendu]]-Base_ventes[[#This Row],[Montant Acheté]]</f>
        <v>168</v>
      </c>
    </row>
    <row r="28" spans="1:17" x14ac:dyDescent="0.3">
      <c r="A28" s="1">
        <v>44208</v>
      </c>
      <c r="B28">
        <f>YEAR(Base_ventes[[#This Row],[DATE]])</f>
        <v>2021</v>
      </c>
      <c r="C28">
        <f>MONTH(Base_ventes[[#This Row],[DATE]])</f>
        <v>1</v>
      </c>
      <c r="D2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8" t="s">
        <v>106</v>
      </c>
      <c r="F28">
        <v>10</v>
      </c>
      <c r="G28" t="s">
        <v>82</v>
      </c>
      <c r="H28" t="s">
        <v>84</v>
      </c>
      <c r="I28">
        <v>79</v>
      </c>
      <c r="J28" t="s">
        <v>107</v>
      </c>
      <c r="K28" t="s">
        <v>86</v>
      </c>
      <c r="L28" t="s">
        <v>14</v>
      </c>
      <c r="M28">
        <v>120</v>
      </c>
      <c r="N28">
        <v>162</v>
      </c>
      <c r="O28">
        <f>Base_ventes[[#This Row],[BD_2.SELLING PRICE]]*Base_ventes[[#This Row],[QUANTITY]]</f>
        <v>1620</v>
      </c>
      <c r="P28">
        <f>Base_ventes[[#This Row],[BD_2.BUYING PRIZE]]*Base_ventes[[#This Row],[QUANTITY]]</f>
        <v>1200</v>
      </c>
      <c r="Q28">
        <f>Base_ventes[[#This Row],[Montant Vendu]]-Base_ventes[[#This Row],[Montant Acheté]]</f>
        <v>420</v>
      </c>
    </row>
    <row r="29" spans="1:17" x14ac:dyDescent="0.3">
      <c r="A29" s="1">
        <v>44217</v>
      </c>
      <c r="B29">
        <f>YEAR(Base_ventes[[#This Row],[DATE]])</f>
        <v>2021</v>
      </c>
      <c r="C29">
        <f>MONTH(Base_ventes[[#This Row],[DATE]])</f>
        <v>1</v>
      </c>
      <c r="D2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9" t="s">
        <v>106</v>
      </c>
      <c r="F29">
        <v>6</v>
      </c>
      <c r="G29" t="s">
        <v>87</v>
      </c>
      <c r="H29" t="s">
        <v>82</v>
      </c>
      <c r="I29">
        <v>31</v>
      </c>
      <c r="J29" t="s">
        <v>107</v>
      </c>
      <c r="K29" t="s">
        <v>86</v>
      </c>
      <c r="L29" t="s">
        <v>14</v>
      </c>
      <c r="M29">
        <v>120</v>
      </c>
      <c r="N29">
        <v>162</v>
      </c>
      <c r="O29">
        <f>Base_ventes[[#This Row],[BD_2.SELLING PRICE]]*Base_ventes[[#This Row],[QUANTITY]]</f>
        <v>972</v>
      </c>
      <c r="P29">
        <f>Base_ventes[[#This Row],[BD_2.BUYING PRIZE]]*Base_ventes[[#This Row],[QUANTITY]]</f>
        <v>720</v>
      </c>
      <c r="Q29">
        <f>Base_ventes[[#This Row],[Montant Vendu]]-Base_ventes[[#This Row],[Montant Acheté]]</f>
        <v>252</v>
      </c>
    </row>
    <row r="30" spans="1:17" x14ac:dyDescent="0.3">
      <c r="A30" s="1">
        <v>44214</v>
      </c>
      <c r="B30">
        <f>YEAR(Base_ventes[[#This Row],[DATE]])</f>
        <v>2021</v>
      </c>
      <c r="C30">
        <f>MONTH(Base_ventes[[#This Row],[DATE]])</f>
        <v>1</v>
      </c>
      <c r="D3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30" t="s">
        <v>110</v>
      </c>
      <c r="F30">
        <v>13</v>
      </c>
      <c r="G30" t="s">
        <v>87</v>
      </c>
      <c r="H30" t="s">
        <v>82</v>
      </c>
      <c r="I30">
        <v>17</v>
      </c>
      <c r="J30" t="s">
        <v>111</v>
      </c>
      <c r="K30" t="s">
        <v>86</v>
      </c>
      <c r="L30" t="s">
        <v>4</v>
      </c>
      <c r="M30">
        <v>76</v>
      </c>
      <c r="N30">
        <v>82.08</v>
      </c>
      <c r="O30">
        <f>Base_ventes[[#This Row],[BD_2.SELLING PRICE]]*Base_ventes[[#This Row],[QUANTITY]]</f>
        <v>1067.04</v>
      </c>
      <c r="P30">
        <f>Base_ventes[[#This Row],[BD_2.BUYING PRIZE]]*Base_ventes[[#This Row],[QUANTITY]]</f>
        <v>988</v>
      </c>
      <c r="Q30">
        <f>Base_ventes[[#This Row],[Montant Vendu]]-Base_ventes[[#This Row],[Montant Acheté]]</f>
        <v>79.039999999999964</v>
      </c>
    </row>
    <row r="31" spans="1:17" x14ac:dyDescent="0.3">
      <c r="A31" s="1">
        <v>44222</v>
      </c>
      <c r="B31">
        <f>YEAR(Base_ventes[[#This Row],[DATE]])</f>
        <v>2021</v>
      </c>
      <c r="C31">
        <f>MONTH(Base_ventes[[#This Row],[DATE]])</f>
        <v>1</v>
      </c>
      <c r="D3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31" t="s">
        <v>110</v>
      </c>
      <c r="F31">
        <v>9</v>
      </c>
      <c r="G31" t="s">
        <v>81</v>
      </c>
      <c r="H31" t="s">
        <v>84</v>
      </c>
      <c r="I31">
        <v>36</v>
      </c>
      <c r="J31" t="s">
        <v>111</v>
      </c>
      <c r="K31" t="s">
        <v>86</v>
      </c>
      <c r="L31" t="s">
        <v>4</v>
      </c>
      <c r="M31">
        <v>76</v>
      </c>
      <c r="N31">
        <v>82.08</v>
      </c>
      <c r="O31">
        <f>Base_ventes[[#This Row],[BD_2.SELLING PRICE]]*Base_ventes[[#This Row],[QUANTITY]]</f>
        <v>738.72</v>
      </c>
      <c r="P31">
        <f>Base_ventes[[#This Row],[BD_2.BUYING PRIZE]]*Base_ventes[[#This Row],[QUANTITY]]</f>
        <v>684</v>
      </c>
      <c r="Q31">
        <f>Base_ventes[[#This Row],[Montant Vendu]]-Base_ventes[[#This Row],[Montant Acheté]]</f>
        <v>54.720000000000027</v>
      </c>
    </row>
    <row r="32" spans="1:17" x14ac:dyDescent="0.3">
      <c r="A32" s="1">
        <v>44214</v>
      </c>
      <c r="B32">
        <f>YEAR(Base_ventes[[#This Row],[DATE]])</f>
        <v>2021</v>
      </c>
      <c r="C32">
        <f>MONTH(Base_ventes[[#This Row],[DATE]])</f>
        <v>1</v>
      </c>
      <c r="D3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32" t="s">
        <v>52</v>
      </c>
      <c r="F32">
        <v>3</v>
      </c>
      <c r="G32" t="s">
        <v>82</v>
      </c>
      <c r="H32" t="s">
        <v>84</v>
      </c>
      <c r="I32">
        <v>12</v>
      </c>
      <c r="J32" t="s">
        <v>53</v>
      </c>
      <c r="K32" t="s">
        <v>47</v>
      </c>
      <c r="L32" t="s">
        <v>14</v>
      </c>
      <c r="M32">
        <v>141</v>
      </c>
      <c r="N32">
        <v>149.46</v>
      </c>
      <c r="O32">
        <f>Base_ventes[[#This Row],[BD_2.SELLING PRICE]]*Base_ventes[[#This Row],[QUANTITY]]</f>
        <v>448.38</v>
      </c>
      <c r="P32">
        <f>Base_ventes[[#This Row],[BD_2.BUYING PRIZE]]*Base_ventes[[#This Row],[QUANTITY]]</f>
        <v>423</v>
      </c>
      <c r="Q32">
        <f>Base_ventes[[#This Row],[Montant Vendu]]-Base_ventes[[#This Row],[Montant Acheté]]</f>
        <v>25.379999999999995</v>
      </c>
    </row>
    <row r="33" spans="1:17" x14ac:dyDescent="0.3">
      <c r="A33" s="1">
        <v>44239</v>
      </c>
      <c r="B33">
        <f>YEAR(Base_ventes[[#This Row],[DATE]])</f>
        <v>2021</v>
      </c>
      <c r="C33">
        <f>MONTH(Base_ventes[[#This Row],[DATE]])</f>
        <v>2</v>
      </c>
      <c r="D3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33" t="s">
        <v>52</v>
      </c>
      <c r="F33">
        <v>9</v>
      </c>
      <c r="G33" t="s">
        <v>82</v>
      </c>
      <c r="H33" t="s">
        <v>84</v>
      </c>
      <c r="I33">
        <v>87</v>
      </c>
      <c r="J33" t="s">
        <v>53</v>
      </c>
      <c r="K33" t="s">
        <v>47</v>
      </c>
      <c r="L33" t="s">
        <v>14</v>
      </c>
      <c r="M33">
        <v>141</v>
      </c>
      <c r="N33">
        <v>149.46</v>
      </c>
      <c r="O33">
        <f>Base_ventes[[#This Row],[BD_2.SELLING PRICE]]*Base_ventes[[#This Row],[QUANTITY]]</f>
        <v>1345.14</v>
      </c>
      <c r="P33">
        <f>Base_ventes[[#This Row],[BD_2.BUYING PRIZE]]*Base_ventes[[#This Row],[QUANTITY]]</f>
        <v>1269</v>
      </c>
      <c r="Q33">
        <f>Base_ventes[[#This Row],[Montant Vendu]]-Base_ventes[[#This Row],[Montant Acheté]]</f>
        <v>76.1400000000001</v>
      </c>
    </row>
    <row r="34" spans="1:17" x14ac:dyDescent="0.3">
      <c r="A34" s="1">
        <v>44245</v>
      </c>
      <c r="B34">
        <f>YEAR(Base_ventes[[#This Row],[DATE]])</f>
        <v>2021</v>
      </c>
      <c r="C34">
        <f>MONTH(Base_ventes[[#This Row],[DATE]])</f>
        <v>2</v>
      </c>
      <c r="D3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34" t="s">
        <v>35</v>
      </c>
      <c r="F34">
        <v>6</v>
      </c>
      <c r="G34" t="s">
        <v>82</v>
      </c>
      <c r="H34" t="s">
        <v>84</v>
      </c>
      <c r="I34">
        <v>35</v>
      </c>
      <c r="J34" t="s">
        <v>36</v>
      </c>
      <c r="K34" t="s">
        <v>26</v>
      </c>
      <c r="L34" t="s">
        <v>23</v>
      </c>
      <c r="M34">
        <v>12</v>
      </c>
      <c r="N34">
        <v>15.719999999999999</v>
      </c>
      <c r="O34">
        <f>Base_ventes[[#This Row],[BD_2.SELLING PRICE]]*Base_ventes[[#This Row],[QUANTITY]]</f>
        <v>94.32</v>
      </c>
      <c r="P34">
        <f>Base_ventes[[#This Row],[BD_2.BUYING PRIZE]]*Base_ventes[[#This Row],[QUANTITY]]</f>
        <v>72</v>
      </c>
      <c r="Q34">
        <f>Base_ventes[[#This Row],[Montant Vendu]]-Base_ventes[[#This Row],[Montant Acheté]]</f>
        <v>22.319999999999993</v>
      </c>
    </row>
    <row r="35" spans="1:17" x14ac:dyDescent="0.3">
      <c r="A35" s="1">
        <v>44216</v>
      </c>
      <c r="B35">
        <f>YEAR(Base_ventes[[#This Row],[DATE]])</f>
        <v>2021</v>
      </c>
      <c r="C35">
        <f>MONTH(Base_ventes[[#This Row],[DATE]])</f>
        <v>1</v>
      </c>
      <c r="D3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35" t="s">
        <v>94</v>
      </c>
      <c r="F35">
        <v>4</v>
      </c>
      <c r="G35" t="s">
        <v>87</v>
      </c>
      <c r="H35" t="s">
        <v>84</v>
      </c>
      <c r="I35">
        <v>41</v>
      </c>
      <c r="J35" t="s">
        <v>95</v>
      </c>
      <c r="K35" t="s">
        <v>60</v>
      </c>
      <c r="L35" t="s">
        <v>11</v>
      </c>
      <c r="M35">
        <v>55</v>
      </c>
      <c r="N35">
        <v>58.3</v>
      </c>
      <c r="O35">
        <f>Base_ventes[[#This Row],[BD_2.SELLING PRICE]]*Base_ventes[[#This Row],[QUANTITY]]</f>
        <v>233.2</v>
      </c>
      <c r="P35">
        <f>Base_ventes[[#This Row],[BD_2.BUYING PRIZE]]*Base_ventes[[#This Row],[QUANTITY]]</f>
        <v>220</v>
      </c>
      <c r="Q35">
        <f>Base_ventes[[#This Row],[Montant Vendu]]-Base_ventes[[#This Row],[Montant Acheté]]</f>
        <v>13.199999999999989</v>
      </c>
    </row>
    <row r="36" spans="1:17" x14ac:dyDescent="0.3">
      <c r="A36" s="1">
        <v>44221</v>
      </c>
      <c r="B36">
        <f>YEAR(Base_ventes[[#This Row],[DATE]])</f>
        <v>2021</v>
      </c>
      <c r="C36">
        <f>MONTH(Base_ventes[[#This Row],[DATE]])</f>
        <v>1</v>
      </c>
      <c r="D3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36" t="s">
        <v>94</v>
      </c>
      <c r="F36">
        <v>6</v>
      </c>
      <c r="G36" t="s">
        <v>87</v>
      </c>
      <c r="H36" t="s">
        <v>84</v>
      </c>
      <c r="I36">
        <v>45</v>
      </c>
      <c r="J36" t="s">
        <v>95</v>
      </c>
      <c r="K36" t="s">
        <v>60</v>
      </c>
      <c r="L36" t="s">
        <v>11</v>
      </c>
      <c r="M36">
        <v>55</v>
      </c>
      <c r="N36">
        <v>58.3</v>
      </c>
      <c r="O36">
        <f>Base_ventes[[#This Row],[BD_2.SELLING PRICE]]*Base_ventes[[#This Row],[QUANTITY]]</f>
        <v>349.79999999999995</v>
      </c>
      <c r="P36">
        <f>Base_ventes[[#This Row],[BD_2.BUYING PRIZE]]*Base_ventes[[#This Row],[QUANTITY]]</f>
        <v>330</v>
      </c>
      <c r="Q36">
        <f>Base_ventes[[#This Row],[Montant Vendu]]-Base_ventes[[#This Row],[Montant Acheté]]</f>
        <v>19.799999999999955</v>
      </c>
    </row>
    <row r="37" spans="1:17" x14ac:dyDescent="0.3">
      <c r="A37" s="1">
        <v>44236</v>
      </c>
      <c r="B37">
        <f>YEAR(Base_ventes[[#This Row],[DATE]])</f>
        <v>2021</v>
      </c>
      <c r="C37">
        <f>MONTH(Base_ventes[[#This Row],[DATE]])</f>
        <v>2</v>
      </c>
      <c r="D3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37" t="s">
        <v>94</v>
      </c>
      <c r="F37">
        <v>14</v>
      </c>
      <c r="G37" t="s">
        <v>87</v>
      </c>
      <c r="H37" t="s">
        <v>82</v>
      </c>
      <c r="I37">
        <v>9</v>
      </c>
      <c r="J37" t="s">
        <v>95</v>
      </c>
      <c r="K37" t="s">
        <v>60</v>
      </c>
      <c r="L37" t="s">
        <v>11</v>
      </c>
      <c r="M37">
        <v>55</v>
      </c>
      <c r="N37">
        <v>58.3</v>
      </c>
      <c r="O37">
        <f>Base_ventes[[#This Row],[BD_2.SELLING PRICE]]*Base_ventes[[#This Row],[QUANTITY]]</f>
        <v>816.19999999999993</v>
      </c>
      <c r="P37">
        <f>Base_ventes[[#This Row],[BD_2.BUYING PRIZE]]*Base_ventes[[#This Row],[QUANTITY]]</f>
        <v>770</v>
      </c>
      <c r="Q37">
        <f>Base_ventes[[#This Row],[Montant Vendu]]-Base_ventes[[#This Row],[Montant Acheté]]</f>
        <v>46.199999999999932</v>
      </c>
    </row>
    <row r="38" spans="1:17" x14ac:dyDescent="0.3">
      <c r="A38" s="1">
        <v>44230</v>
      </c>
      <c r="B38">
        <f>YEAR(Base_ventes[[#This Row],[DATE]])</f>
        <v>2021</v>
      </c>
      <c r="C38">
        <f>MONTH(Base_ventes[[#This Row],[DATE]])</f>
        <v>2</v>
      </c>
      <c r="D3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38" t="s">
        <v>37</v>
      </c>
      <c r="F38">
        <v>13</v>
      </c>
      <c r="G38" t="s">
        <v>87</v>
      </c>
      <c r="H38" t="s">
        <v>82</v>
      </c>
      <c r="I38">
        <v>50</v>
      </c>
      <c r="J38" t="s">
        <v>38</v>
      </c>
      <c r="K38" t="s">
        <v>26</v>
      </c>
      <c r="L38" t="s">
        <v>23</v>
      </c>
      <c r="M38">
        <v>13</v>
      </c>
      <c r="N38">
        <v>16.64</v>
      </c>
      <c r="O38">
        <f>Base_ventes[[#This Row],[BD_2.SELLING PRICE]]*Base_ventes[[#This Row],[QUANTITY]]</f>
        <v>216.32</v>
      </c>
      <c r="P38">
        <f>Base_ventes[[#This Row],[BD_2.BUYING PRIZE]]*Base_ventes[[#This Row],[QUANTITY]]</f>
        <v>169</v>
      </c>
      <c r="Q38">
        <f>Base_ventes[[#This Row],[Montant Vendu]]-Base_ventes[[#This Row],[Montant Acheté]]</f>
        <v>47.319999999999993</v>
      </c>
    </row>
    <row r="39" spans="1:17" x14ac:dyDescent="0.3">
      <c r="A39" s="1">
        <v>44216</v>
      </c>
      <c r="B39">
        <f>YEAR(Base_ventes[[#This Row],[DATE]])</f>
        <v>2021</v>
      </c>
      <c r="C39">
        <f>MONTH(Base_ventes[[#This Row],[DATE]])</f>
        <v>1</v>
      </c>
      <c r="D3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39" t="s">
        <v>45</v>
      </c>
      <c r="F39">
        <v>4</v>
      </c>
      <c r="G39" t="s">
        <v>87</v>
      </c>
      <c r="H39" t="s">
        <v>84</v>
      </c>
      <c r="I39">
        <v>86</v>
      </c>
      <c r="J39" t="s">
        <v>46</v>
      </c>
      <c r="K39" t="s">
        <v>47</v>
      </c>
      <c r="L39" t="s">
        <v>11</v>
      </c>
      <c r="M39">
        <v>61</v>
      </c>
      <c r="N39">
        <v>76.25</v>
      </c>
      <c r="O39">
        <f>Base_ventes[[#This Row],[BD_2.SELLING PRICE]]*Base_ventes[[#This Row],[QUANTITY]]</f>
        <v>305</v>
      </c>
      <c r="P39">
        <f>Base_ventes[[#This Row],[BD_2.BUYING PRIZE]]*Base_ventes[[#This Row],[QUANTITY]]</f>
        <v>244</v>
      </c>
      <c r="Q39">
        <f>Base_ventes[[#This Row],[Montant Vendu]]-Base_ventes[[#This Row],[Montant Acheté]]</f>
        <v>61</v>
      </c>
    </row>
    <row r="40" spans="1:17" x14ac:dyDescent="0.3">
      <c r="A40" s="1">
        <v>44230</v>
      </c>
      <c r="B40">
        <f>YEAR(Base_ventes[[#This Row],[DATE]])</f>
        <v>2021</v>
      </c>
      <c r="C40">
        <f>MONTH(Base_ventes[[#This Row],[DATE]])</f>
        <v>2</v>
      </c>
      <c r="D4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40" t="s">
        <v>50</v>
      </c>
      <c r="F40">
        <v>2</v>
      </c>
      <c r="G40" t="s">
        <v>81</v>
      </c>
      <c r="H40" t="s">
        <v>84</v>
      </c>
      <c r="I40">
        <v>37</v>
      </c>
      <c r="J40" t="s">
        <v>51</v>
      </c>
      <c r="K40" t="s">
        <v>47</v>
      </c>
      <c r="L40" t="s">
        <v>14</v>
      </c>
      <c r="M40">
        <v>121</v>
      </c>
      <c r="N40">
        <v>141.57</v>
      </c>
      <c r="O40">
        <f>Base_ventes[[#This Row],[BD_2.SELLING PRICE]]*Base_ventes[[#This Row],[QUANTITY]]</f>
        <v>283.14</v>
      </c>
      <c r="P40">
        <f>Base_ventes[[#This Row],[BD_2.BUYING PRIZE]]*Base_ventes[[#This Row],[QUANTITY]]</f>
        <v>242</v>
      </c>
      <c r="Q40">
        <f>Base_ventes[[#This Row],[Montant Vendu]]-Base_ventes[[#This Row],[Montant Acheté]]</f>
        <v>41.139999999999986</v>
      </c>
    </row>
    <row r="41" spans="1:17" x14ac:dyDescent="0.3">
      <c r="A41" s="1">
        <v>44223</v>
      </c>
      <c r="B41">
        <f>YEAR(Base_ventes[[#This Row],[DATE]])</f>
        <v>2021</v>
      </c>
      <c r="C41">
        <f>MONTH(Base_ventes[[#This Row],[DATE]])</f>
        <v>1</v>
      </c>
      <c r="D4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41" t="s">
        <v>102</v>
      </c>
      <c r="F41">
        <v>7</v>
      </c>
      <c r="G41" t="s">
        <v>81</v>
      </c>
      <c r="H41" t="s">
        <v>82</v>
      </c>
      <c r="I41">
        <v>48</v>
      </c>
      <c r="J41" t="s">
        <v>103</v>
      </c>
      <c r="K41" t="s">
        <v>86</v>
      </c>
      <c r="L41" t="s">
        <v>4</v>
      </c>
      <c r="M41">
        <v>90</v>
      </c>
      <c r="N41">
        <v>115.2</v>
      </c>
      <c r="O41">
        <f>Base_ventes[[#This Row],[BD_2.SELLING PRICE]]*Base_ventes[[#This Row],[QUANTITY]]</f>
        <v>806.4</v>
      </c>
      <c r="P41">
        <f>Base_ventes[[#This Row],[BD_2.BUYING PRIZE]]*Base_ventes[[#This Row],[QUANTITY]]</f>
        <v>630</v>
      </c>
      <c r="Q41">
        <f>Base_ventes[[#This Row],[Montant Vendu]]-Base_ventes[[#This Row],[Montant Acheté]]</f>
        <v>176.39999999999998</v>
      </c>
    </row>
    <row r="42" spans="1:17" x14ac:dyDescent="0.3">
      <c r="A42" s="1">
        <v>44242</v>
      </c>
      <c r="B42">
        <f>YEAR(Base_ventes[[#This Row],[DATE]])</f>
        <v>2021</v>
      </c>
      <c r="C42">
        <f>MONTH(Base_ventes[[#This Row],[DATE]])</f>
        <v>2</v>
      </c>
      <c r="D4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42" t="s">
        <v>61</v>
      </c>
      <c r="F42">
        <v>4</v>
      </c>
      <c r="G42" t="s">
        <v>87</v>
      </c>
      <c r="H42" t="s">
        <v>82</v>
      </c>
      <c r="I42">
        <v>76</v>
      </c>
      <c r="J42" t="s">
        <v>62</v>
      </c>
      <c r="K42" t="s">
        <v>60</v>
      </c>
      <c r="L42" t="s">
        <v>11</v>
      </c>
      <c r="M42">
        <v>48</v>
      </c>
      <c r="N42">
        <v>57.120000000000005</v>
      </c>
      <c r="O42">
        <f>Base_ventes[[#This Row],[BD_2.SELLING PRICE]]*Base_ventes[[#This Row],[QUANTITY]]</f>
        <v>228.48000000000002</v>
      </c>
      <c r="P42">
        <f>Base_ventes[[#This Row],[BD_2.BUYING PRIZE]]*Base_ventes[[#This Row],[QUANTITY]]</f>
        <v>192</v>
      </c>
      <c r="Q42">
        <f>Base_ventes[[#This Row],[Montant Vendu]]-Base_ventes[[#This Row],[Montant Acheté]]</f>
        <v>36.480000000000018</v>
      </c>
    </row>
    <row r="43" spans="1:17" x14ac:dyDescent="0.3">
      <c r="A43" s="1">
        <v>44223</v>
      </c>
      <c r="B43">
        <f>YEAR(Base_ventes[[#This Row],[DATE]])</f>
        <v>2021</v>
      </c>
      <c r="C43">
        <f>MONTH(Base_ventes[[#This Row],[DATE]])</f>
        <v>1</v>
      </c>
      <c r="D4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43" t="s">
        <v>90</v>
      </c>
      <c r="F43">
        <v>3</v>
      </c>
      <c r="G43" t="s">
        <v>81</v>
      </c>
      <c r="H43" t="s">
        <v>82</v>
      </c>
      <c r="I43">
        <v>39</v>
      </c>
      <c r="J43" t="s">
        <v>91</v>
      </c>
      <c r="K43" t="s">
        <v>60</v>
      </c>
      <c r="L43" t="s">
        <v>4</v>
      </c>
      <c r="M43">
        <v>89</v>
      </c>
      <c r="N43">
        <v>117.48</v>
      </c>
      <c r="O43">
        <f>Base_ventes[[#This Row],[BD_2.SELLING PRICE]]*Base_ventes[[#This Row],[QUANTITY]]</f>
        <v>352.44</v>
      </c>
      <c r="P43">
        <f>Base_ventes[[#This Row],[BD_2.BUYING PRIZE]]*Base_ventes[[#This Row],[QUANTITY]]</f>
        <v>267</v>
      </c>
      <c r="Q43">
        <f>Base_ventes[[#This Row],[Montant Vendu]]-Base_ventes[[#This Row],[Montant Acheté]]</f>
        <v>85.44</v>
      </c>
    </row>
    <row r="44" spans="1:17" x14ac:dyDescent="0.3">
      <c r="A44" s="1">
        <v>44224</v>
      </c>
      <c r="B44">
        <f>YEAR(Base_ventes[[#This Row],[DATE]])</f>
        <v>2021</v>
      </c>
      <c r="C44">
        <f>MONTH(Base_ventes[[#This Row],[DATE]])</f>
        <v>1</v>
      </c>
      <c r="D4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44" t="s">
        <v>65</v>
      </c>
      <c r="F44">
        <v>2</v>
      </c>
      <c r="G44" t="s">
        <v>87</v>
      </c>
      <c r="H44" t="s">
        <v>84</v>
      </c>
      <c r="I44">
        <v>0</v>
      </c>
      <c r="J44" t="s">
        <v>66</v>
      </c>
      <c r="K44" t="s">
        <v>60</v>
      </c>
      <c r="L44" t="s">
        <v>11</v>
      </c>
      <c r="M44">
        <v>47</v>
      </c>
      <c r="N44">
        <v>53.11</v>
      </c>
      <c r="O44">
        <f>Base_ventes[[#This Row],[BD_2.SELLING PRICE]]*Base_ventes[[#This Row],[QUANTITY]]</f>
        <v>106.22</v>
      </c>
      <c r="P44">
        <f>Base_ventes[[#This Row],[BD_2.BUYING PRIZE]]*Base_ventes[[#This Row],[QUANTITY]]</f>
        <v>94</v>
      </c>
      <c r="Q44">
        <f>Base_ventes[[#This Row],[Montant Vendu]]-Base_ventes[[#This Row],[Montant Acheté]]</f>
        <v>12.219999999999999</v>
      </c>
    </row>
    <row r="45" spans="1:17" x14ac:dyDescent="0.3">
      <c r="A45" s="1">
        <v>44247</v>
      </c>
      <c r="B45">
        <f>YEAR(Base_ventes[[#This Row],[DATE]])</f>
        <v>2021</v>
      </c>
      <c r="C45">
        <f>MONTH(Base_ventes[[#This Row],[DATE]])</f>
        <v>2</v>
      </c>
      <c r="D4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45" t="s">
        <v>67</v>
      </c>
      <c r="F45">
        <v>11</v>
      </c>
      <c r="G45" t="s">
        <v>82</v>
      </c>
      <c r="H45" t="s">
        <v>84</v>
      </c>
      <c r="I45">
        <v>4</v>
      </c>
      <c r="J45" t="s">
        <v>68</v>
      </c>
      <c r="K45" t="s">
        <v>60</v>
      </c>
      <c r="L45" t="s">
        <v>14</v>
      </c>
      <c r="M45">
        <v>148</v>
      </c>
      <c r="N45">
        <v>201.28</v>
      </c>
      <c r="O45">
        <f>Base_ventes[[#This Row],[BD_2.SELLING PRICE]]*Base_ventes[[#This Row],[QUANTITY]]</f>
        <v>2214.08</v>
      </c>
      <c r="P45">
        <f>Base_ventes[[#This Row],[BD_2.BUYING PRIZE]]*Base_ventes[[#This Row],[QUANTITY]]</f>
        <v>1628</v>
      </c>
      <c r="Q45">
        <f>Base_ventes[[#This Row],[Montant Vendu]]-Base_ventes[[#This Row],[Montant Acheté]]</f>
        <v>586.07999999999993</v>
      </c>
    </row>
    <row r="46" spans="1:17" x14ac:dyDescent="0.3">
      <c r="A46" s="1">
        <v>44232</v>
      </c>
      <c r="B46">
        <f>YEAR(Base_ventes[[#This Row],[DATE]])</f>
        <v>2021</v>
      </c>
      <c r="C46">
        <f>MONTH(Base_ventes[[#This Row],[DATE]])</f>
        <v>2</v>
      </c>
      <c r="D4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46" t="s">
        <v>108</v>
      </c>
      <c r="F46">
        <v>7</v>
      </c>
      <c r="G46" t="s">
        <v>82</v>
      </c>
      <c r="H46" t="s">
        <v>84</v>
      </c>
      <c r="I46">
        <v>31</v>
      </c>
      <c r="J46" t="s">
        <v>109</v>
      </c>
      <c r="K46" t="s">
        <v>86</v>
      </c>
      <c r="L46" t="s">
        <v>4</v>
      </c>
      <c r="M46">
        <v>67</v>
      </c>
      <c r="N46">
        <v>83.08</v>
      </c>
      <c r="O46">
        <f>Base_ventes[[#This Row],[BD_2.SELLING PRICE]]*Base_ventes[[#This Row],[QUANTITY]]</f>
        <v>581.55999999999995</v>
      </c>
      <c r="P46">
        <f>Base_ventes[[#This Row],[BD_2.BUYING PRIZE]]*Base_ventes[[#This Row],[QUANTITY]]</f>
        <v>469</v>
      </c>
      <c r="Q46">
        <f>Base_ventes[[#This Row],[Montant Vendu]]-Base_ventes[[#This Row],[Montant Acheté]]</f>
        <v>112.55999999999995</v>
      </c>
    </row>
    <row r="47" spans="1:17" x14ac:dyDescent="0.3">
      <c r="A47" s="1">
        <v>44232</v>
      </c>
      <c r="B47">
        <f>YEAR(Base_ventes[[#This Row],[DATE]])</f>
        <v>2021</v>
      </c>
      <c r="C47">
        <f>MONTH(Base_ventes[[#This Row],[DATE]])</f>
        <v>2</v>
      </c>
      <c r="D4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47" t="s">
        <v>108</v>
      </c>
      <c r="F47">
        <v>9</v>
      </c>
      <c r="G47" t="s">
        <v>87</v>
      </c>
      <c r="H47" t="s">
        <v>84</v>
      </c>
      <c r="I47">
        <v>41</v>
      </c>
      <c r="J47" t="s">
        <v>109</v>
      </c>
      <c r="K47" t="s">
        <v>86</v>
      </c>
      <c r="L47" t="s">
        <v>4</v>
      </c>
      <c r="M47">
        <v>67</v>
      </c>
      <c r="N47">
        <v>83.08</v>
      </c>
      <c r="O47">
        <f>Base_ventes[[#This Row],[BD_2.SELLING PRICE]]*Base_ventes[[#This Row],[QUANTITY]]</f>
        <v>747.72</v>
      </c>
      <c r="P47">
        <f>Base_ventes[[#This Row],[BD_2.BUYING PRIZE]]*Base_ventes[[#This Row],[QUANTITY]]</f>
        <v>603</v>
      </c>
      <c r="Q47">
        <f>Base_ventes[[#This Row],[Montant Vendu]]-Base_ventes[[#This Row],[Montant Acheté]]</f>
        <v>144.72000000000003</v>
      </c>
    </row>
    <row r="48" spans="1:17" x14ac:dyDescent="0.3">
      <c r="A48" s="1">
        <v>44250</v>
      </c>
      <c r="B48">
        <f>YEAR(Base_ventes[[#This Row],[DATE]])</f>
        <v>2021</v>
      </c>
      <c r="C48">
        <f>MONTH(Base_ventes[[#This Row],[DATE]])</f>
        <v>2</v>
      </c>
      <c r="D4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48" t="s">
        <v>12</v>
      </c>
      <c r="F48">
        <v>2</v>
      </c>
      <c r="G48" t="s">
        <v>87</v>
      </c>
      <c r="H48" t="s">
        <v>82</v>
      </c>
      <c r="I48">
        <v>9</v>
      </c>
      <c r="J48" t="s">
        <v>13</v>
      </c>
      <c r="K48" t="s">
        <v>3</v>
      </c>
      <c r="L48" t="s">
        <v>14</v>
      </c>
      <c r="M48">
        <v>133</v>
      </c>
      <c r="N48">
        <v>155.61000000000001</v>
      </c>
      <c r="O48">
        <f>Base_ventes[[#This Row],[BD_2.SELLING PRICE]]*Base_ventes[[#This Row],[QUANTITY]]</f>
        <v>311.22000000000003</v>
      </c>
      <c r="P48">
        <f>Base_ventes[[#This Row],[BD_2.BUYING PRIZE]]*Base_ventes[[#This Row],[QUANTITY]]</f>
        <v>266</v>
      </c>
      <c r="Q48">
        <f>Base_ventes[[#This Row],[Montant Vendu]]-Base_ventes[[#This Row],[Montant Acheté]]</f>
        <v>45.220000000000027</v>
      </c>
    </row>
    <row r="49" spans="1:17" x14ac:dyDescent="0.3">
      <c r="A49" s="1">
        <v>44252</v>
      </c>
      <c r="B49">
        <f>YEAR(Base_ventes[[#This Row],[DATE]])</f>
        <v>2021</v>
      </c>
      <c r="C49">
        <f>MONTH(Base_ventes[[#This Row],[DATE]])</f>
        <v>2</v>
      </c>
      <c r="D4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49" t="s">
        <v>5</v>
      </c>
      <c r="F49">
        <v>4</v>
      </c>
      <c r="G49" t="s">
        <v>81</v>
      </c>
      <c r="H49" t="s">
        <v>82</v>
      </c>
      <c r="I49">
        <v>44</v>
      </c>
      <c r="J49" t="s">
        <v>6</v>
      </c>
      <c r="K49" t="s">
        <v>3</v>
      </c>
      <c r="L49" t="s">
        <v>4</v>
      </c>
      <c r="M49">
        <v>105</v>
      </c>
      <c r="N49">
        <v>142.80000000000001</v>
      </c>
      <c r="O49">
        <f>Base_ventes[[#This Row],[BD_2.SELLING PRICE]]*Base_ventes[[#This Row],[QUANTITY]]</f>
        <v>571.20000000000005</v>
      </c>
      <c r="P49">
        <f>Base_ventes[[#This Row],[BD_2.BUYING PRIZE]]*Base_ventes[[#This Row],[QUANTITY]]</f>
        <v>420</v>
      </c>
      <c r="Q49">
        <f>Base_ventes[[#This Row],[Montant Vendu]]-Base_ventes[[#This Row],[Montant Acheté]]</f>
        <v>151.20000000000005</v>
      </c>
    </row>
    <row r="50" spans="1:17" x14ac:dyDescent="0.3">
      <c r="A50" s="1">
        <v>44252</v>
      </c>
      <c r="B50">
        <f>YEAR(Base_ventes[[#This Row],[DATE]])</f>
        <v>2021</v>
      </c>
      <c r="C50">
        <f>MONTH(Base_ventes[[#This Row],[DATE]])</f>
        <v>2</v>
      </c>
      <c r="D5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50" t="s">
        <v>90</v>
      </c>
      <c r="F50">
        <v>11</v>
      </c>
      <c r="G50" t="s">
        <v>82</v>
      </c>
      <c r="H50" t="s">
        <v>84</v>
      </c>
      <c r="I50">
        <v>47</v>
      </c>
      <c r="J50" t="s">
        <v>91</v>
      </c>
      <c r="K50" t="s">
        <v>60</v>
      </c>
      <c r="L50" t="s">
        <v>4</v>
      </c>
      <c r="M50">
        <v>89</v>
      </c>
      <c r="N50">
        <v>117.48</v>
      </c>
      <c r="O50">
        <f>Base_ventes[[#This Row],[BD_2.SELLING PRICE]]*Base_ventes[[#This Row],[QUANTITY]]</f>
        <v>1292.28</v>
      </c>
      <c r="P50">
        <f>Base_ventes[[#This Row],[BD_2.BUYING PRIZE]]*Base_ventes[[#This Row],[QUANTITY]]</f>
        <v>979</v>
      </c>
      <c r="Q50">
        <f>Base_ventes[[#This Row],[Montant Vendu]]-Base_ventes[[#This Row],[Montant Acheté]]</f>
        <v>313.27999999999997</v>
      </c>
    </row>
    <row r="51" spans="1:17" x14ac:dyDescent="0.3">
      <c r="A51" s="1">
        <v>44252</v>
      </c>
      <c r="B51">
        <f>YEAR(Base_ventes[[#This Row],[DATE]])</f>
        <v>2021</v>
      </c>
      <c r="C51">
        <f>MONTH(Base_ventes[[#This Row],[DATE]])</f>
        <v>2</v>
      </c>
      <c r="D5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51" t="s">
        <v>67</v>
      </c>
      <c r="F51">
        <v>2</v>
      </c>
      <c r="G51" t="s">
        <v>87</v>
      </c>
      <c r="H51" t="s">
        <v>82</v>
      </c>
      <c r="I51">
        <v>10</v>
      </c>
      <c r="J51" t="s">
        <v>68</v>
      </c>
      <c r="K51" t="s">
        <v>60</v>
      </c>
      <c r="L51" t="s">
        <v>14</v>
      </c>
      <c r="M51">
        <v>148</v>
      </c>
      <c r="N51">
        <v>201.28</v>
      </c>
      <c r="O51">
        <f>Base_ventes[[#This Row],[BD_2.SELLING PRICE]]*Base_ventes[[#This Row],[QUANTITY]]</f>
        <v>402.56</v>
      </c>
      <c r="P51">
        <f>Base_ventes[[#This Row],[BD_2.BUYING PRIZE]]*Base_ventes[[#This Row],[QUANTITY]]</f>
        <v>296</v>
      </c>
      <c r="Q51">
        <f>Base_ventes[[#This Row],[Montant Vendu]]-Base_ventes[[#This Row],[Montant Acheté]]</f>
        <v>106.56</v>
      </c>
    </row>
    <row r="52" spans="1:17" x14ac:dyDescent="0.3">
      <c r="A52" s="1">
        <v>44254</v>
      </c>
      <c r="B52">
        <f>YEAR(Base_ventes[[#This Row],[DATE]])</f>
        <v>2021</v>
      </c>
      <c r="C52">
        <f>MONTH(Base_ventes[[#This Row],[DATE]])</f>
        <v>2</v>
      </c>
      <c r="D5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52" t="s">
        <v>41</v>
      </c>
      <c r="F52">
        <v>11</v>
      </c>
      <c r="G52" t="s">
        <v>81</v>
      </c>
      <c r="H52" t="s">
        <v>82</v>
      </c>
      <c r="I52">
        <v>60</v>
      </c>
      <c r="J52" t="s">
        <v>42</v>
      </c>
      <c r="K52" t="s">
        <v>26</v>
      </c>
      <c r="L52" t="s">
        <v>23</v>
      </c>
      <c r="M52">
        <v>37</v>
      </c>
      <c r="N52">
        <v>49.21</v>
      </c>
      <c r="O52">
        <f>Base_ventes[[#This Row],[BD_2.SELLING PRICE]]*Base_ventes[[#This Row],[QUANTITY]]</f>
        <v>541.31000000000006</v>
      </c>
      <c r="P52">
        <f>Base_ventes[[#This Row],[BD_2.BUYING PRIZE]]*Base_ventes[[#This Row],[QUANTITY]]</f>
        <v>407</v>
      </c>
      <c r="Q52">
        <f>Base_ventes[[#This Row],[Montant Vendu]]-Base_ventes[[#This Row],[Montant Acheté]]</f>
        <v>134.31000000000006</v>
      </c>
    </row>
    <row r="53" spans="1:17" x14ac:dyDescent="0.3">
      <c r="A53" s="1">
        <v>44258</v>
      </c>
      <c r="B53">
        <f>YEAR(Base_ventes[[#This Row],[DATE]])</f>
        <v>2021</v>
      </c>
      <c r="C53">
        <f>MONTH(Base_ventes[[#This Row],[DATE]])</f>
        <v>3</v>
      </c>
      <c r="D5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53" t="s">
        <v>27</v>
      </c>
      <c r="F53">
        <v>1</v>
      </c>
      <c r="G53" t="s">
        <v>87</v>
      </c>
      <c r="H53" t="s">
        <v>82</v>
      </c>
      <c r="I53">
        <v>4</v>
      </c>
      <c r="J53" t="s">
        <v>28</v>
      </c>
      <c r="K53" t="s">
        <v>26</v>
      </c>
      <c r="L53" t="s">
        <v>11</v>
      </c>
      <c r="M53">
        <v>44</v>
      </c>
      <c r="N53">
        <v>48.4</v>
      </c>
      <c r="O53">
        <f>Base_ventes[[#This Row],[BD_2.SELLING PRICE]]*Base_ventes[[#This Row],[QUANTITY]]</f>
        <v>48.4</v>
      </c>
      <c r="P53">
        <f>Base_ventes[[#This Row],[BD_2.BUYING PRIZE]]*Base_ventes[[#This Row],[QUANTITY]]</f>
        <v>44</v>
      </c>
      <c r="Q53">
        <f>Base_ventes[[#This Row],[Montant Vendu]]-Base_ventes[[#This Row],[Montant Acheté]]</f>
        <v>4.3999999999999986</v>
      </c>
    </row>
    <row r="54" spans="1:17" x14ac:dyDescent="0.3">
      <c r="A54" s="1">
        <v>44262</v>
      </c>
      <c r="B54">
        <f>YEAR(Base_ventes[[#This Row],[DATE]])</f>
        <v>2021</v>
      </c>
      <c r="C54">
        <f>MONTH(Base_ventes[[#This Row],[DATE]])</f>
        <v>3</v>
      </c>
      <c r="D5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54" t="s">
        <v>48</v>
      </c>
      <c r="F54">
        <v>9</v>
      </c>
      <c r="G54" t="s">
        <v>87</v>
      </c>
      <c r="H54" t="s">
        <v>84</v>
      </c>
      <c r="I54">
        <v>43</v>
      </c>
      <c r="J54" t="s">
        <v>49</v>
      </c>
      <c r="K54" t="s">
        <v>47</v>
      </c>
      <c r="L54" t="s">
        <v>14</v>
      </c>
      <c r="M54">
        <v>126</v>
      </c>
      <c r="N54">
        <v>162.54</v>
      </c>
      <c r="O54">
        <f>Base_ventes[[#This Row],[BD_2.SELLING PRICE]]*Base_ventes[[#This Row],[QUANTITY]]</f>
        <v>1462.86</v>
      </c>
      <c r="P54">
        <f>Base_ventes[[#This Row],[BD_2.BUYING PRIZE]]*Base_ventes[[#This Row],[QUANTITY]]</f>
        <v>1134</v>
      </c>
      <c r="Q54">
        <f>Base_ventes[[#This Row],[Montant Vendu]]-Base_ventes[[#This Row],[Montant Acheté]]</f>
        <v>328.8599999999999</v>
      </c>
    </row>
    <row r="55" spans="1:17" x14ac:dyDescent="0.3">
      <c r="A55" s="1">
        <v>44263</v>
      </c>
      <c r="B55">
        <f>YEAR(Base_ventes[[#This Row],[DATE]])</f>
        <v>2021</v>
      </c>
      <c r="C55">
        <f>MONTH(Base_ventes[[#This Row],[DATE]])</f>
        <v>3</v>
      </c>
      <c r="D5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55" t="s">
        <v>61</v>
      </c>
      <c r="F55">
        <v>6</v>
      </c>
      <c r="G55" t="s">
        <v>82</v>
      </c>
      <c r="H55" t="s">
        <v>84</v>
      </c>
      <c r="I55">
        <v>25</v>
      </c>
      <c r="J55" t="s">
        <v>62</v>
      </c>
      <c r="K55" t="s">
        <v>60</v>
      </c>
      <c r="L55" t="s">
        <v>11</v>
      </c>
      <c r="M55">
        <v>48</v>
      </c>
      <c r="N55">
        <v>57.120000000000005</v>
      </c>
      <c r="O55">
        <f>Base_ventes[[#This Row],[BD_2.SELLING PRICE]]*Base_ventes[[#This Row],[QUANTITY]]</f>
        <v>342.72</v>
      </c>
      <c r="P55">
        <f>Base_ventes[[#This Row],[BD_2.BUYING PRIZE]]*Base_ventes[[#This Row],[QUANTITY]]</f>
        <v>288</v>
      </c>
      <c r="Q55">
        <f>Base_ventes[[#This Row],[Montant Vendu]]-Base_ventes[[#This Row],[Montant Acheté]]</f>
        <v>54.720000000000027</v>
      </c>
    </row>
    <row r="56" spans="1:17" x14ac:dyDescent="0.3">
      <c r="A56" s="1">
        <v>44263</v>
      </c>
      <c r="B56">
        <f>YEAR(Base_ventes[[#This Row],[DATE]])</f>
        <v>2021</v>
      </c>
      <c r="C56">
        <f>MONTH(Base_ventes[[#This Row],[DATE]])</f>
        <v>3</v>
      </c>
      <c r="D5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56" t="s">
        <v>110</v>
      </c>
      <c r="F56">
        <v>9</v>
      </c>
      <c r="G56" t="s">
        <v>82</v>
      </c>
      <c r="H56" t="s">
        <v>82</v>
      </c>
      <c r="I56">
        <v>12</v>
      </c>
      <c r="J56" t="s">
        <v>111</v>
      </c>
      <c r="K56" t="s">
        <v>86</v>
      </c>
      <c r="L56" t="s">
        <v>4</v>
      </c>
      <c r="M56">
        <v>76</v>
      </c>
      <c r="N56">
        <v>82.08</v>
      </c>
      <c r="O56">
        <f>Base_ventes[[#This Row],[BD_2.SELLING PRICE]]*Base_ventes[[#This Row],[QUANTITY]]</f>
        <v>738.72</v>
      </c>
      <c r="P56">
        <f>Base_ventes[[#This Row],[BD_2.BUYING PRIZE]]*Base_ventes[[#This Row],[QUANTITY]]</f>
        <v>684</v>
      </c>
      <c r="Q56">
        <f>Base_ventes[[#This Row],[Montant Vendu]]-Base_ventes[[#This Row],[Montant Acheté]]</f>
        <v>54.720000000000027</v>
      </c>
    </row>
    <row r="57" spans="1:17" x14ac:dyDescent="0.3">
      <c r="A57" s="1">
        <v>44264</v>
      </c>
      <c r="B57">
        <f>YEAR(Base_ventes[[#This Row],[DATE]])</f>
        <v>2021</v>
      </c>
      <c r="C57">
        <f>MONTH(Base_ventes[[#This Row],[DATE]])</f>
        <v>3</v>
      </c>
      <c r="D5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57" t="s">
        <v>65</v>
      </c>
      <c r="F57">
        <v>6</v>
      </c>
      <c r="G57" t="s">
        <v>81</v>
      </c>
      <c r="H57" t="s">
        <v>82</v>
      </c>
      <c r="I57">
        <v>6</v>
      </c>
      <c r="J57" t="s">
        <v>66</v>
      </c>
      <c r="K57" t="s">
        <v>60</v>
      </c>
      <c r="L57" t="s">
        <v>11</v>
      </c>
      <c r="M57">
        <v>47</v>
      </c>
      <c r="N57">
        <v>53.11</v>
      </c>
      <c r="O57">
        <f>Base_ventes[[#This Row],[BD_2.SELLING PRICE]]*Base_ventes[[#This Row],[QUANTITY]]</f>
        <v>318.65999999999997</v>
      </c>
      <c r="P57">
        <f>Base_ventes[[#This Row],[BD_2.BUYING PRIZE]]*Base_ventes[[#This Row],[QUANTITY]]</f>
        <v>282</v>
      </c>
      <c r="Q57">
        <f>Base_ventes[[#This Row],[Montant Vendu]]-Base_ventes[[#This Row],[Montant Acheté]]</f>
        <v>36.659999999999968</v>
      </c>
    </row>
    <row r="58" spans="1:17" x14ac:dyDescent="0.3">
      <c r="A58" s="1">
        <v>44266</v>
      </c>
      <c r="B58">
        <f>YEAR(Base_ventes[[#This Row],[DATE]])</f>
        <v>2021</v>
      </c>
      <c r="C58">
        <f>MONTH(Base_ventes[[#This Row],[DATE]])</f>
        <v>3</v>
      </c>
      <c r="D5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58" t="s">
        <v>56</v>
      </c>
      <c r="F58">
        <v>11</v>
      </c>
      <c r="G58" t="s">
        <v>87</v>
      </c>
      <c r="H58" t="s">
        <v>84</v>
      </c>
      <c r="I58">
        <v>48</v>
      </c>
      <c r="J58" t="s">
        <v>57</v>
      </c>
      <c r="K58" t="s">
        <v>47</v>
      </c>
      <c r="L58" t="s">
        <v>23</v>
      </c>
      <c r="M58">
        <v>7</v>
      </c>
      <c r="N58">
        <v>8.33</v>
      </c>
      <c r="O58">
        <f>Base_ventes[[#This Row],[BD_2.SELLING PRICE]]*Base_ventes[[#This Row],[QUANTITY]]</f>
        <v>91.63</v>
      </c>
      <c r="P58">
        <f>Base_ventes[[#This Row],[BD_2.BUYING PRIZE]]*Base_ventes[[#This Row],[QUANTITY]]</f>
        <v>77</v>
      </c>
      <c r="Q58">
        <f>Base_ventes[[#This Row],[Montant Vendu]]-Base_ventes[[#This Row],[Montant Acheté]]</f>
        <v>14.629999999999995</v>
      </c>
    </row>
    <row r="59" spans="1:17" x14ac:dyDescent="0.3">
      <c r="A59" s="1">
        <v>44268</v>
      </c>
      <c r="B59">
        <f>YEAR(Base_ventes[[#This Row],[DATE]])</f>
        <v>2021</v>
      </c>
      <c r="C59">
        <f>MONTH(Base_ventes[[#This Row],[DATE]])</f>
        <v>3</v>
      </c>
      <c r="D5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59" t="s">
        <v>63</v>
      </c>
      <c r="F59">
        <v>10</v>
      </c>
      <c r="G59" t="s">
        <v>81</v>
      </c>
      <c r="H59" t="s">
        <v>84</v>
      </c>
      <c r="I59">
        <v>37</v>
      </c>
      <c r="J59" t="s">
        <v>64</v>
      </c>
      <c r="K59" t="s">
        <v>60</v>
      </c>
      <c r="L59" t="s">
        <v>23</v>
      </c>
      <c r="M59">
        <v>37</v>
      </c>
      <c r="N59">
        <v>41.81</v>
      </c>
      <c r="O59">
        <f>Base_ventes[[#This Row],[BD_2.SELLING PRICE]]*Base_ventes[[#This Row],[QUANTITY]]</f>
        <v>418.1</v>
      </c>
      <c r="P59">
        <f>Base_ventes[[#This Row],[BD_2.BUYING PRIZE]]*Base_ventes[[#This Row],[QUANTITY]]</f>
        <v>370</v>
      </c>
      <c r="Q59">
        <f>Base_ventes[[#This Row],[Montant Vendu]]-Base_ventes[[#This Row],[Montant Acheté]]</f>
        <v>48.100000000000023</v>
      </c>
    </row>
    <row r="60" spans="1:17" x14ac:dyDescent="0.3">
      <c r="A60" s="1">
        <v>44270</v>
      </c>
      <c r="B60">
        <f>YEAR(Base_ventes[[#This Row],[DATE]])</f>
        <v>2021</v>
      </c>
      <c r="C60">
        <f>MONTH(Base_ventes[[#This Row],[DATE]])</f>
        <v>3</v>
      </c>
      <c r="D6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60" t="s">
        <v>100</v>
      </c>
      <c r="F60">
        <v>11</v>
      </c>
      <c r="G60" t="s">
        <v>82</v>
      </c>
      <c r="H60" t="s">
        <v>84</v>
      </c>
      <c r="I60">
        <v>77</v>
      </c>
      <c r="J60" t="s">
        <v>101</v>
      </c>
      <c r="K60" t="s">
        <v>86</v>
      </c>
      <c r="L60" t="s">
        <v>23</v>
      </c>
      <c r="M60">
        <v>37</v>
      </c>
      <c r="N60">
        <v>42.55</v>
      </c>
      <c r="O60">
        <f>Base_ventes[[#This Row],[BD_2.SELLING PRICE]]*Base_ventes[[#This Row],[QUANTITY]]</f>
        <v>468.04999999999995</v>
      </c>
      <c r="P60">
        <f>Base_ventes[[#This Row],[BD_2.BUYING PRIZE]]*Base_ventes[[#This Row],[QUANTITY]]</f>
        <v>407</v>
      </c>
      <c r="Q60">
        <f>Base_ventes[[#This Row],[Montant Vendu]]-Base_ventes[[#This Row],[Montant Acheté]]</f>
        <v>61.049999999999955</v>
      </c>
    </row>
    <row r="61" spans="1:17" x14ac:dyDescent="0.3">
      <c r="A61" s="1">
        <v>44271</v>
      </c>
      <c r="B61">
        <f>YEAR(Base_ventes[[#This Row],[DATE]])</f>
        <v>2021</v>
      </c>
      <c r="C61">
        <f>MONTH(Base_ventes[[#This Row],[DATE]])</f>
        <v>3</v>
      </c>
      <c r="D6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61" t="s">
        <v>29</v>
      </c>
      <c r="F61">
        <v>14</v>
      </c>
      <c r="G61" t="s">
        <v>87</v>
      </c>
      <c r="H61" t="s">
        <v>84</v>
      </c>
      <c r="I61">
        <v>32</v>
      </c>
      <c r="J61" t="s">
        <v>30</v>
      </c>
      <c r="K61" t="s">
        <v>26</v>
      </c>
      <c r="L61" t="s">
        <v>4</v>
      </c>
      <c r="M61">
        <v>73</v>
      </c>
      <c r="N61">
        <v>94.17</v>
      </c>
      <c r="O61">
        <f>Base_ventes[[#This Row],[BD_2.SELLING PRICE]]*Base_ventes[[#This Row],[QUANTITY]]</f>
        <v>1318.38</v>
      </c>
      <c r="P61">
        <f>Base_ventes[[#This Row],[BD_2.BUYING PRIZE]]*Base_ventes[[#This Row],[QUANTITY]]</f>
        <v>1022</v>
      </c>
      <c r="Q61">
        <f>Base_ventes[[#This Row],[Montant Vendu]]-Base_ventes[[#This Row],[Montant Acheté]]</f>
        <v>296.38000000000011</v>
      </c>
    </row>
    <row r="62" spans="1:17" x14ac:dyDescent="0.3">
      <c r="A62" s="1">
        <v>44273</v>
      </c>
      <c r="B62">
        <f>YEAR(Base_ventes[[#This Row],[DATE]])</f>
        <v>2021</v>
      </c>
      <c r="C62">
        <f>MONTH(Base_ventes[[#This Row],[DATE]])</f>
        <v>3</v>
      </c>
      <c r="D6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62" t="s">
        <v>106</v>
      </c>
      <c r="F62">
        <v>8</v>
      </c>
      <c r="G62" t="s">
        <v>81</v>
      </c>
      <c r="H62" t="s">
        <v>84</v>
      </c>
      <c r="I62">
        <v>63</v>
      </c>
      <c r="J62" t="s">
        <v>107</v>
      </c>
      <c r="K62" t="s">
        <v>86</v>
      </c>
      <c r="L62" t="s">
        <v>14</v>
      </c>
      <c r="M62">
        <v>120</v>
      </c>
      <c r="N62">
        <v>162</v>
      </c>
      <c r="O62">
        <f>Base_ventes[[#This Row],[BD_2.SELLING PRICE]]*Base_ventes[[#This Row],[QUANTITY]]</f>
        <v>1296</v>
      </c>
      <c r="P62">
        <f>Base_ventes[[#This Row],[BD_2.BUYING PRIZE]]*Base_ventes[[#This Row],[QUANTITY]]</f>
        <v>960</v>
      </c>
      <c r="Q62">
        <f>Base_ventes[[#This Row],[Montant Vendu]]-Base_ventes[[#This Row],[Montant Acheté]]</f>
        <v>336</v>
      </c>
    </row>
    <row r="63" spans="1:17" x14ac:dyDescent="0.3">
      <c r="A63" s="1">
        <v>44274</v>
      </c>
      <c r="B63">
        <f>YEAR(Base_ventes[[#This Row],[DATE]])</f>
        <v>2021</v>
      </c>
      <c r="C63">
        <f>MONTH(Base_ventes[[#This Row],[DATE]])</f>
        <v>3</v>
      </c>
      <c r="D6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63" t="s">
        <v>63</v>
      </c>
      <c r="F63">
        <v>9</v>
      </c>
      <c r="G63" t="s">
        <v>82</v>
      </c>
      <c r="H63" t="s">
        <v>84</v>
      </c>
      <c r="I63">
        <v>29</v>
      </c>
      <c r="J63" t="s">
        <v>64</v>
      </c>
      <c r="K63" t="s">
        <v>60</v>
      </c>
      <c r="L63" t="s">
        <v>23</v>
      </c>
      <c r="M63">
        <v>37</v>
      </c>
      <c r="N63">
        <v>41.81</v>
      </c>
      <c r="O63">
        <f>Base_ventes[[#This Row],[BD_2.SELLING PRICE]]*Base_ventes[[#This Row],[QUANTITY]]</f>
        <v>376.29</v>
      </c>
      <c r="P63">
        <f>Base_ventes[[#This Row],[BD_2.BUYING PRIZE]]*Base_ventes[[#This Row],[QUANTITY]]</f>
        <v>333</v>
      </c>
      <c r="Q63">
        <f>Base_ventes[[#This Row],[Montant Vendu]]-Base_ventes[[#This Row],[Montant Acheté]]</f>
        <v>43.29000000000002</v>
      </c>
    </row>
    <row r="64" spans="1:17" x14ac:dyDescent="0.3">
      <c r="A64" s="1">
        <v>44276</v>
      </c>
      <c r="B64">
        <f>YEAR(Base_ventes[[#This Row],[DATE]])</f>
        <v>2021</v>
      </c>
      <c r="C64">
        <f>MONTH(Base_ventes[[#This Row],[DATE]])</f>
        <v>3</v>
      </c>
      <c r="D6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64" t="s">
        <v>45</v>
      </c>
      <c r="F64">
        <v>13</v>
      </c>
      <c r="G64" t="s">
        <v>82</v>
      </c>
      <c r="H64" t="s">
        <v>82</v>
      </c>
      <c r="I64">
        <v>38</v>
      </c>
      <c r="J64" t="s">
        <v>46</v>
      </c>
      <c r="K64" t="s">
        <v>47</v>
      </c>
      <c r="L64" t="s">
        <v>11</v>
      </c>
      <c r="M64">
        <v>61</v>
      </c>
      <c r="N64">
        <v>76.25</v>
      </c>
      <c r="O64">
        <f>Base_ventes[[#This Row],[BD_2.SELLING PRICE]]*Base_ventes[[#This Row],[QUANTITY]]</f>
        <v>991.25</v>
      </c>
      <c r="P64">
        <f>Base_ventes[[#This Row],[BD_2.BUYING PRIZE]]*Base_ventes[[#This Row],[QUANTITY]]</f>
        <v>793</v>
      </c>
      <c r="Q64">
        <f>Base_ventes[[#This Row],[Montant Vendu]]-Base_ventes[[#This Row],[Montant Acheté]]</f>
        <v>198.25</v>
      </c>
    </row>
    <row r="65" spans="1:17" x14ac:dyDescent="0.3">
      <c r="A65" s="1">
        <v>44276</v>
      </c>
      <c r="B65">
        <f>YEAR(Base_ventes[[#This Row],[DATE]])</f>
        <v>2021</v>
      </c>
      <c r="C65">
        <f>MONTH(Base_ventes[[#This Row],[DATE]])</f>
        <v>3</v>
      </c>
      <c r="D6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65" t="s">
        <v>100</v>
      </c>
      <c r="F65">
        <v>7</v>
      </c>
      <c r="G65" t="s">
        <v>87</v>
      </c>
      <c r="H65" t="s">
        <v>82</v>
      </c>
      <c r="I65">
        <v>33</v>
      </c>
      <c r="J65" t="s">
        <v>101</v>
      </c>
      <c r="K65" t="s">
        <v>86</v>
      </c>
      <c r="L65" t="s">
        <v>23</v>
      </c>
      <c r="M65">
        <v>37</v>
      </c>
      <c r="N65">
        <v>42.55</v>
      </c>
      <c r="O65">
        <f>Base_ventes[[#This Row],[BD_2.SELLING PRICE]]*Base_ventes[[#This Row],[QUANTITY]]</f>
        <v>297.84999999999997</v>
      </c>
      <c r="P65">
        <f>Base_ventes[[#This Row],[BD_2.BUYING PRIZE]]*Base_ventes[[#This Row],[QUANTITY]]</f>
        <v>259</v>
      </c>
      <c r="Q65">
        <f>Base_ventes[[#This Row],[Montant Vendu]]-Base_ventes[[#This Row],[Montant Acheté]]</f>
        <v>38.849999999999966</v>
      </c>
    </row>
    <row r="66" spans="1:17" x14ac:dyDescent="0.3">
      <c r="A66" s="1">
        <v>44277</v>
      </c>
      <c r="B66">
        <f>YEAR(Base_ventes[[#This Row],[DATE]])</f>
        <v>2021</v>
      </c>
      <c r="C66">
        <f>MONTH(Base_ventes[[#This Row],[DATE]])</f>
        <v>3</v>
      </c>
      <c r="D6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66" t="s">
        <v>5</v>
      </c>
      <c r="F66">
        <v>8</v>
      </c>
      <c r="G66" t="s">
        <v>82</v>
      </c>
      <c r="H66" t="s">
        <v>82</v>
      </c>
      <c r="I66">
        <v>24</v>
      </c>
      <c r="J66" t="s">
        <v>6</v>
      </c>
      <c r="K66" t="s">
        <v>3</v>
      </c>
      <c r="L66" t="s">
        <v>4</v>
      </c>
      <c r="M66">
        <v>105</v>
      </c>
      <c r="N66">
        <v>142.80000000000001</v>
      </c>
      <c r="O66">
        <f>Base_ventes[[#This Row],[BD_2.SELLING PRICE]]*Base_ventes[[#This Row],[QUANTITY]]</f>
        <v>1142.4000000000001</v>
      </c>
      <c r="P66">
        <f>Base_ventes[[#This Row],[BD_2.BUYING PRIZE]]*Base_ventes[[#This Row],[QUANTITY]]</f>
        <v>840</v>
      </c>
      <c r="Q66">
        <f>Base_ventes[[#This Row],[Montant Vendu]]-Base_ventes[[#This Row],[Montant Acheté]]</f>
        <v>302.40000000000009</v>
      </c>
    </row>
    <row r="67" spans="1:17" x14ac:dyDescent="0.3">
      <c r="A67" s="1">
        <v>44277</v>
      </c>
      <c r="B67">
        <f>YEAR(Base_ventes[[#This Row],[DATE]])</f>
        <v>2021</v>
      </c>
      <c r="C67">
        <f>MONTH(Base_ventes[[#This Row],[DATE]])</f>
        <v>3</v>
      </c>
      <c r="D6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67" t="s">
        <v>29</v>
      </c>
      <c r="F67">
        <v>4</v>
      </c>
      <c r="G67" t="s">
        <v>82</v>
      </c>
      <c r="H67" t="s">
        <v>82</v>
      </c>
      <c r="I67">
        <v>6</v>
      </c>
      <c r="J67" t="s">
        <v>30</v>
      </c>
      <c r="K67" t="s">
        <v>26</v>
      </c>
      <c r="L67" t="s">
        <v>4</v>
      </c>
      <c r="M67">
        <v>73</v>
      </c>
      <c r="N67">
        <v>94.17</v>
      </c>
      <c r="O67">
        <f>Base_ventes[[#This Row],[BD_2.SELLING PRICE]]*Base_ventes[[#This Row],[QUANTITY]]</f>
        <v>376.68</v>
      </c>
      <c r="P67">
        <f>Base_ventes[[#This Row],[BD_2.BUYING PRIZE]]*Base_ventes[[#This Row],[QUANTITY]]</f>
        <v>292</v>
      </c>
      <c r="Q67">
        <f>Base_ventes[[#This Row],[Montant Vendu]]-Base_ventes[[#This Row],[Montant Acheté]]</f>
        <v>84.68</v>
      </c>
    </row>
    <row r="68" spans="1:17" x14ac:dyDescent="0.3">
      <c r="A68" s="1">
        <v>44280</v>
      </c>
      <c r="B68">
        <f>YEAR(Base_ventes[[#This Row],[DATE]])</f>
        <v>2021</v>
      </c>
      <c r="C68">
        <f>MONTH(Base_ventes[[#This Row],[DATE]])</f>
        <v>3</v>
      </c>
      <c r="D6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68" t="s">
        <v>54</v>
      </c>
      <c r="F68">
        <v>14</v>
      </c>
      <c r="G68" t="s">
        <v>82</v>
      </c>
      <c r="H68" t="s">
        <v>84</v>
      </c>
      <c r="I68">
        <v>33</v>
      </c>
      <c r="J68" t="s">
        <v>55</v>
      </c>
      <c r="K68" t="s">
        <v>47</v>
      </c>
      <c r="L68" t="s">
        <v>14</v>
      </c>
      <c r="M68">
        <v>144</v>
      </c>
      <c r="N68">
        <v>156.96</v>
      </c>
      <c r="O68">
        <f>Base_ventes[[#This Row],[BD_2.SELLING PRICE]]*Base_ventes[[#This Row],[QUANTITY]]</f>
        <v>2197.44</v>
      </c>
      <c r="P68">
        <f>Base_ventes[[#This Row],[BD_2.BUYING PRIZE]]*Base_ventes[[#This Row],[QUANTITY]]</f>
        <v>2016</v>
      </c>
      <c r="Q68">
        <f>Base_ventes[[#This Row],[Montant Vendu]]-Base_ventes[[#This Row],[Montant Acheté]]</f>
        <v>181.44000000000005</v>
      </c>
    </row>
    <row r="69" spans="1:17" x14ac:dyDescent="0.3">
      <c r="A69" s="1">
        <v>44280</v>
      </c>
      <c r="B69">
        <f>YEAR(Base_ventes[[#This Row],[DATE]])</f>
        <v>2021</v>
      </c>
      <c r="C69">
        <f>MONTH(Base_ventes[[#This Row],[DATE]])</f>
        <v>3</v>
      </c>
      <c r="D6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69" t="s">
        <v>15</v>
      </c>
      <c r="F69">
        <v>4</v>
      </c>
      <c r="G69" t="s">
        <v>87</v>
      </c>
      <c r="H69" t="s">
        <v>84</v>
      </c>
      <c r="I69">
        <v>29</v>
      </c>
      <c r="J69" t="s">
        <v>16</v>
      </c>
      <c r="K69" t="s">
        <v>3</v>
      </c>
      <c r="L69" t="s">
        <v>4</v>
      </c>
      <c r="M69">
        <v>75</v>
      </c>
      <c r="N69">
        <v>85.5</v>
      </c>
      <c r="O69">
        <f>Base_ventes[[#This Row],[BD_2.SELLING PRICE]]*Base_ventes[[#This Row],[QUANTITY]]</f>
        <v>342</v>
      </c>
      <c r="P69">
        <f>Base_ventes[[#This Row],[BD_2.BUYING PRIZE]]*Base_ventes[[#This Row],[QUANTITY]]</f>
        <v>300</v>
      </c>
      <c r="Q69">
        <f>Base_ventes[[#This Row],[Montant Vendu]]-Base_ventes[[#This Row],[Montant Acheté]]</f>
        <v>42</v>
      </c>
    </row>
    <row r="70" spans="1:17" x14ac:dyDescent="0.3">
      <c r="A70" s="1">
        <v>44280</v>
      </c>
      <c r="B70">
        <f>YEAR(Base_ventes[[#This Row],[DATE]])</f>
        <v>2021</v>
      </c>
      <c r="C70">
        <f>MONTH(Base_ventes[[#This Row],[DATE]])</f>
        <v>3</v>
      </c>
      <c r="D7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70" t="s">
        <v>65</v>
      </c>
      <c r="F70">
        <v>8</v>
      </c>
      <c r="G70" t="s">
        <v>87</v>
      </c>
      <c r="H70" t="s">
        <v>84</v>
      </c>
      <c r="I70">
        <v>37</v>
      </c>
      <c r="J70" t="s">
        <v>66</v>
      </c>
      <c r="K70" t="s">
        <v>60</v>
      </c>
      <c r="L70" t="s">
        <v>11</v>
      </c>
      <c r="M70">
        <v>47</v>
      </c>
      <c r="N70">
        <v>53.11</v>
      </c>
      <c r="O70">
        <f>Base_ventes[[#This Row],[BD_2.SELLING PRICE]]*Base_ventes[[#This Row],[QUANTITY]]</f>
        <v>424.88</v>
      </c>
      <c r="P70">
        <f>Base_ventes[[#This Row],[BD_2.BUYING PRIZE]]*Base_ventes[[#This Row],[QUANTITY]]</f>
        <v>376</v>
      </c>
      <c r="Q70">
        <f>Base_ventes[[#This Row],[Montant Vendu]]-Base_ventes[[#This Row],[Montant Acheté]]</f>
        <v>48.879999999999995</v>
      </c>
    </row>
    <row r="71" spans="1:17" x14ac:dyDescent="0.3">
      <c r="A71" s="1">
        <v>44280</v>
      </c>
      <c r="B71">
        <f>YEAR(Base_ventes[[#This Row],[DATE]])</f>
        <v>2021</v>
      </c>
      <c r="C71">
        <f>MONTH(Base_ventes[[#This Row],[DATE]])</f>
        <v>3</v>
      </c>
      <c r="D7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71" t="s">
        <v>83</v>
      </c>
      <c r="F71">
        <v>2</v>
      </c>
      <c r="G71" t="s">
        <v>87</v>
      </c>
      <c r="H71" t="s">
        <v>82</v>
      </c>
      <c r="I71">
        <v>74</v>
      </c>
      <c r="J71" t="s">
        <v>85</v>
      </c>
      <c r="K71" t="s">
        <v>86</v>
      </c>
      <c r="L71" t="s">
        <v>4</v>
      </c>
      <c r="M71">
        <v>72</v>
      </c>
      <c r="N71">
        <v>79.92</v>
      </c>
      <c r="O71">
        <f>Base_ventes[[#This Row],[BD_2.SELLING PRICE]]*Base_ventes[[#This Row],[QUANTITY]]</f>
        <v>159.84</v>
      </c>
      <c r="P71">
        <f>Base_ventes[[#This Row],[BD_2.BUYING PRIZE]]*Base_ventes[[#This Row],[QUANTITY]]</f>
        <v>144</v>
      </c>
      <c r="Q71">
        <f>Base_ventes[[#This Row],[Montant Vendu]]-Base_ventes[[#This Row],[Montant Acheté]]</f>
        <v>15.840000000000003</v>
      </c>
    </row>
    <row r="72" spans="1:17" x14ac:dyDescent="0.3">
      <c r="A72" s="1">
        <v>44281</v>
      </c>
      <c r="B72">
        <f>YEAR(Base_ventes[[#This Row],[DATE]])</f>
        <v>2021</v>
      </c>
      <c r="C72">
        <f>MONTH(Base_ventes[[#This Row],[DATE]])</f>
        <v>3</v>
      </c>
      <c r="D7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72" t="s">
        <v>1</v>
      </c>
      <c r="F72">
        <v>4</v>
      </c>
      <c r="G72" t="s">
        <v>87</v>
      </c>
      <c r="H72" t="s">
        <v>84</v>
      </c>
      <c r="I72">
        <v>9</v>
      </c>
      <c r="J72" t="s">
        <v>2</v>
      </c>
      <c r="K72" t="s">
        <v>3</v>
      </c>
      <c r="L72" t="s">
        <v>4</v>
      </c>
      <c r="M72">
        <v>98</v>
      </c>
      <c r="N72">
        <v>103.88</v>
      </c>
      <c r="O72">
        <f>Base_ventes[[#This Row],[BD_2.SELLING PRICE]]*Base_ventes[[#This Row],[QUANTITY]]</f>
        <v>415.52</v>
      </c>
      <c r="P72">
        <f>Base_ventes[[#This Row],[BD_2.BUYING PRIZE]]*Base_ventes[[#This Row],[QUANTITY]]</f>
        <v>392</v>
      </c>
      <c r="Q72">
        <f>Base_ventes[[#This Row],[Montant Vendu]]-Base_ventes[[#This Row],[Montant Acheté]]</f>
        <v>23.519999999999982</v>
      </c>
    </row>
    <row r="73" spans="1:17" x14ac:dyDescent="0.3">
      <c r="A73" s="1">
        <v>44281</v>
      </c>
      <c r="B73">
        <f>YEAR(Base_ventes[[#This Row],[DATE]])</f>
        <v>2021</v>
      </c>
      <c r="C73">
        <f>MONTH(Base_ventes[[#This Row],[DATE]])</f>
        <v>3</v>
      </c>
      <c r="D7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73" t="s">
        <v>106</v>
      </c>
      <c r="F73">
        <v>1</v>
      </c>
      <c r="G73" t="s">
        <v>87</v>
      </c>
      <c r="H73" t="s">
        <v>84</v>
      </c>
      <c r="I73">
        <v>81</v>
      </c>
      <c r="J73" t="s">
        <v>107</v>
      </c>
      <c r="K73" t="s">
        <v>86</v>
      </c>
      <c r="L73" t="s">
        <v>14</v>
      </c>
      <c r="M73">
        <v>120</v>
      </c>
      <c r="N73">
        <v>162</v>
      </c>
      <c r="O73">
        <f>Base_ventes[[#This Row],[BD_2.SELLING PRICE]]*Base_ventes[[#This Row],[QUANTITY]]</f>
        <v>162</v>
      </c>
      <c r="P73">
        <f>Base_ventes[[#This Row],[BD_2.BUYING PRIZE]]*Base_ventes[[#This Row],[QUANTITY]]</f>
        <v>120</v>
      </c>
      <c r="Q73">
        <f>Base_ventes[[#This Row],[Montant Vendu]]-Base_ventes[[#This Row],[Montant Acheté]]</f>
        <v>42</v>
      </c>
    </row>
    <row r="74" spans="1:17" x14ac:dyDescent="0.3">
      <c r="A74" s="1">
        <v>44281</v>
      </c>
      <c r="B74">
        <f>YEAR(Base_ventes[[#This Row],[DATE]])</f>
        <v>2021</v>
      </c>
      <c r="C74">
        <f>MONTH(Base_ventes[[#This Row],[DATE]])</f>
        <v>3</v>
      </c>
      <c r="D7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74" t="s">
        <v>24</v>
      </c>
      <c r="F74">
        <v>9</v>
      </c>
      <c r="G74" t="s">
        <v>87</v>
      </c>
      <c r="H74" t="s">
        <v>82</v>
      </c>
      <c r="I74">
        <v>42</v>
      </c>
      <c r="J74" t="s">
        <v>25</v>
      </c>
      <c r="K74" t="s">
        <v>26</v>
      </c>
      <c r="L74" t="s">
        <v>14</v>
      </c>
      <c r="M74">
        <v>148</v>
      </c>
      <c r="N74">
        <v>164.28</v>
      </c>
      <c r="O74">
        <f>Base_ventes[[#This Row],[BD_2.SELLING PRICE]]*Base_ventes[[#This Row],[QUANTITY]]</f>
        <v>1478.52</v>
      </c>
      <c r="P74">
        <f>Base_ventes[[#This Row],[BD_2.BUYING PRIZE]]*Base_ventes[[#This Row],[QUANTITY]]</f>
        <v>1332</v>
      </c>
      <c r="Q74">
        <f>Base_ventes[[#This Row],[Montant Vendu]]-Base_ventes[[#This Row],[Montant Acheté]]</f>
        <v>146.51999999999998</v>
      </c>
    </row>
    <row r="75" spans="1:17" x14ac:dyDescent="0.3">
      <c r="A75" s="1">
        <v>44282</v>
      </c>
      <c r="B75">
        <f>YEAR(Base_ventes[[#This Row],[DATE]])</f>
        <v>2021</v>
      </c>
      <c r="C75">
        <f>MONTH(Base_ventes[[#This Row],[DATE]])</f>
        <v>3</v>
      </c>
      <c r="D7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75" t="s">
        <v>67</v>
      </c>
      <c r="F75">
        <v>3</v>
      </c>
      <c r="G75" t="s">
        <v>87</v>
      </c>
      <c r="H75" t="s">
        <v>82</v>
      </c>
      <c r="I75">
        <v>82</v>
      </c>
      <c r="J75" t="s">
        <v>68</v>
      </c>
      <c r="K75" t="s">
        <v>60</v>
      </c>
      <c r="L75" t="s">
        <v>14</v>
      </c>
      <c r="M75">
        <v>148</v>
      </c>
      <c r="N75">
        <v>201.28</v>
      </c>
      <c r="O75">
        <f>Base_ventes[[#This Row],[BD_2.SELLING PRICE]]*Base_ventes[[#This Row],[QUANTITY]]</f>
        <v>603.84</v>
      </c>
      <c r="P75">
        <f>Base_ventes[[#This Row],[BD_2.BUYING PRIZE]]*Base_ventes[[#This Row],[QUANTITY]]</f>
        <v>444</v>
      </c>
      <c r="Q75">
        <f>Base_ventes[[#This Row],[Montant Vendu]]-Base_ventes[[#This Row],[Montant Acheté]]</f>
        <v>159.84000000000003</v>
      </c>
    </row>
    <row r="76" spans="1:17" x14ac:dyDescent="0.3">
      <c r="A76" s="1">
        <v>44283</v>
      </c>
      <c r="B76">
        <f>YEAR(Base_ventes[[#This Row],[DATE]])</f>
        <v>2021</v>
      </c>
      <c r="C76">
        <f>MONTH(Base_ventes[[#This Row],[DATE]])</f>
        <v>3</v>
      </c>
      <c r="D7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76" t="s">
        <v>17</v>
      </c>
      <c r="F76">
        <v>8</v>
      </c>
      <c r="G76" t="s">
        <v>82</v>
      </c>
      <c r="H76" t="s">
        <v>84</v>
      </c>
      <c r="I76">
        <v>79</v>
      </c>
      <c r="J76" t="s">
        <v>18</v>
      </c>
      <c r="K76" t="s">
        <v>3</v>
      </c>
      <c r="L76" t="s">
        <v>11</v>
      </c>
      <c r="M76">
        <v>43</v>
      </c>
      <c r="N76">
        <v>47.730000000000004</v>
      </c>
      <c r="O76">
        <f>Base_ventes[[#This Row],[BD_2.SELLING PRICE]]*Base_ventes[[#This Row],[QUANTITY]]</f>
        <v>381.84000000000003</v>
      </c>
      <c r="P76">
        <f>Base_ventes[[#This Row],[BD_2.BUYING PRIZE]]*Base_ventes[[#This Row],[QUANTITY]]</f>
        <v>344</v>
      </c>
      <c r="Q76">
        <f>Base_ventes[[#This Row],[Montant Vendu]]-Base_ventes[[#This Row],[Montant Acheté]]</f>
        <v>37.840000000000032</v>
      </c>
    </row>
    <row r="77" spans="1:17" x14ac:dyDescent="0.3">
      <c r="A77" s="1">
        <v>44285</v>
      </c>
      <c r="B77">
        <f>YEAR(Base_ventes[[#This Row],[DATE]])</f>
        <v>2021</v>
      </c>
      <c r="C77">
        <f>MONTH(Base_ventes[[#This Row],[DATE]])</f>
        <v>3</v>
      </c>
      <c r="D7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77" t="s">
        <v>83</v>
      </c>
      <c r="F77">
        <v>1</v>
      </c>
      <c r="G77" t="s">
        <v>82</v>
      </c>
      <c r="H77" t="s">
        <v>84</v>
      </c>
      <c r="I77">
        <v>55</v>
      </c>
      <c r="J77" t="s">
        <v>85</v>
      </c>
      <c r="K77" t="s">
        <v>86</v>
      </c>
      <c r="L77" t="s">
        <v>4</v>
      </c>
      <c r="M77">
        <v>72</v>
      </c>
      <c r="N77">
        <v>79.92</v>
      </c>
      <c r="O77">
        <f>Base_ventes[[#This Row],[BD_2.SELLING PRICE]]*Base_ventes[[#This Row],[QUANTITY]]</f>
        <v>79.92</v>
      </c>
      <c r="P77">
        <f>Base_ventes[[#This Row],[BD_2.BUYING PRIZE]]*Base_ventes[[#This Row],[QUANTITY]]</f>
        <v>72</v>
      </c>
      <c r="Q77">
        <f>Base_ventes[[#This Row],[Montant Vendu]]-Base_ventes[[#This Row],[Montant Acheté]]</f>
        <v>7.9200000000000017</v>
      </c>
    </row>
    <row r="78" spans="1:17" x14ac:dyDescent="0.3">
      <c r="A78" s="1">
        <v>44286</v>
      </c>
      <c r="B78">
        <f>YEAR(Base_ventes[[#This Row],[DATE]])</f>
        <v>2021</v>
      </c>
      <c r="C78">
        <f>MONTH(Base_ventes[[#This Row],[DATE]])</f>
        <v>3</v>
      </c>
      <c r="D7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78" t="s">
        <v>106</v>
      </c>
      <c r="F78">
        <v>3</v>
      </c>
      <c r="G78" t="s">
        <v>87</v>
      </c>
      <c r="H78" t="s">
        <v>84</v>
      </c>
      <c r="I78">
        <v>62</v>
      </c>
      <c r="J78" t="s">
        <v>107</v>
      </c>
      <c r="K78" t="s">
        <v>86</v>
      </c>
      <c r="L78" t="s">
        <v>14</v>
      </c>
      <c r="M78">
        <v>120</v>
      </c>
      <c r="N78">
        <v>162</v>
      </c>
      <c r="O78">
        <f>Base_ventes[[#This Row],[BD_2.SELLING PRICE]]*Base_ventes[[#This Row],[QUANTITY]]</f>
        <v>486</v>
      </c>
      <c r="P78">
        <f>Base_ventes[[#This Row],[BD_2.BUYING PRIZE]]*Base_ventes[[#This Row],[QUANTITY]]</f>
        <v>360</v>
      </c>
      <c r="Q78">
        <f>Base_ventes[[#This Row],[Montant Vendu]]-Base_ventes[[#This Row],[Montant Acheté]]</f>
        <v>126</v>
      </c>
    </row>
    <row r="79" spans="1:17" x14ac:dyDescent="0.3">
      <c r="A79" s="1">
        <v>44290</v>
      </c>
      <c r="B79">
        <f>YEAR(Base_ventes[[#This Row],[DATE]])</f>
        <v>2021</v>
      </c>
      <c r="C79">
        <f>MONTH(Base_ventes[[#This Row],[DATE]])</f>
        <v>4</v>
      </c>
      <c r="D7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79" t="s">
        <v>102</v>
      </c>
      <c r="F79">
        <v>4</v>
      </c>
      <c r="G79" t="s">
        <v>87</v>
      </c>
      <c r="H79" t="s">
        <v>84</v>
      </c>
      <c r="I79">
        <v>34</v>
      </c>
      <c r="J79" t="s">
        <v>103</v>
      </c>
      <c r="K79" t="s">
        <v>86</v>
      </c>
      <c r="L79" t="s">
        <v>4</v>
      </c>
      <c r="M79">
        <v>90</v>
      </c>
      <c r="N79">
        <v>115.2</v>
      </c>
      <c r="O79">
        <f>Base_ventes[[#This Row],[BD_2.SELLING PRICE]]*Base_ventes[[#This Row],[QUANTITY]]</f>
        <v>460.8</v>
      </c>
      <c r="P79">
        <f>Base_ventes[[#This Row],[BD_2.BUYING PRIZE]]*Base_ventes[[#This Row],[QUANTITY]]</f>
        <v>360</v>
      </c>
      <c r="Q79">
        <f>Base_ventes[[#This Row],[Montant Vendu]]-Base_ventes[[#This Row],[Montant Acheté]]</f>
        <v>100.80000000000001</v>
      </c>
    </row>
    <row r="80" spans="1:17" x14ac:dyDescent="0.3">
      <c r="A80" s="1">
        <v>44290</v>
      </c>
      <c r="B80">
        <f>YEAR(Base_ventes[[#This Row],[DATE]])</f>
        <v>2021</v>
      </c>
      <c r="C80">
        <f>MONTH(Base_ventes[[#This Row],[DATE]])</f>
        <v>4</v>
      </c>
      <c r="D8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80" t="s">
        <v>21</v>
      </c>
      <c r="F80">
        <v>9</v>
      </c>
      <c r="G80" t="s">
        <v>82</v>
      </c>
      <c r="H80" t="s">
        <v>84</v>
      </c>
      <c r="I80">
        <v>31</v>
      </c>
      <c r="J80" t="s">
        <v>22</v>
      </c>
      <c r="K80" t="s">
        <v>3</v>
      </c>
      <c r="L80" t="s">
        <v>23</v>
      </c>
      <c r="M80">
        <v>6</v>
      </c>
      <c r="N80">
        <v>7.8599999999999994</v>
      </c>
      <c r="O80">
        <f>Base_ventes[[#This Row],[BD_2.SELLING PRICE]]*Base_ventes[[#This Row],[QUANTITY]]</f>
        <v>70.739999999999995</v>
      </c>
      <c r="P80">
        <f>Base_ventes[[#This Row],[BD_2.BUYING PRIZE]]*Base_ventes[[#This Row],[QUANTITY]]</f>
        <v>54</v>
      </c>
      <c r="Q80">
        <f>Base_ventes[[#This Row],[Montant Vendu]]-Base_ventes[[#This Row],[Montant Acheté]]</f>
        <v>16.739999999999995</v>
      </c>
    </row>
    <row r="81" spans="1:17" x14ac:dyDescent="0.3">
      <c r="A81" s="1">
        <v>44291</v>
      </c>
      <c r="B81">
        <f>YEAR(Base_ventes[[#This Row],[DATE]])</f>
        <v>2021</v>
      </c>
      <c r="C81">
        <f>MONTH(Base_ventes[[#This Row],[DATE]])</f>
        <v>4</v>
      </c>
      <c r="D8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81" t="s">
        <v>69</v>
      </c>
      <c r="F81">
        <v>15</v>
      </c>
      <c r="G81" t="s">
        <v>82</v>
      </c>
      <c r="H81" t="s">
        <v>82</v>
      </c>
      <c r="I81">
        <v>76</v>
      </c>
      <c r="J81" t="s">
        <v>70</v>
      </c>
      <c r="K81" t="s">
        <v>60</v>
      </c>
      <c r="L81" t="s">
        <v>4</v>
      </c>
      <c r="M81">
        <v>93</v>
      </c>
      <c r="N81">
        <v>104.16</v>
      </c>
      <c r="O81">
        <f>Base_ventes[[#This Row],[BD_2.SELLING PRICE]]*Base_ventes[[#This Row],[QUANTITY]]</f>
        <v>1562.3999999999999</v>
      </c>
      <c r="P81">
        <f>Base_ventes[[#This Row],[BD_2.BUYING PRIZE]]*Base_ventes[[#This Row],[QUANTITY]]</f>
        <v>1395</v>
      </c>
      <c r="Q81">
        <f>Base_ventes[[#This Row],[Montant Vendu]]-Base_ventes[[#This Row],[Montant Acheté]]</f>
        <v>167.39999999999986</v>
      </c>
    </row>
    <row r="82" spans="1:17" x14ac:dyDescent="0.3">
      <c r="A82" s="1">
        <v>44295</v>
      </c>
      <c r="B82">
        <f>YEAR(Base_ventes[[#This Row],[DATE]])</f>
        <v>2021</v>
      </c>
      <c r="C82">
        <f>MONTH(Base_ventes[[#This Row],[DATE]])</f>
        <v>4</v>
      </c>
      <c r="D8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82" t="s">
        <v>12</v>
      </c>
      <c r="F82">
        <v>3</v>
      </c>
      <c r="G82" t="s">
        <v>82</v>
      </c>
      <c r="H82" t="s">
        <v>82</v>
      </c>
      <c r="I82">
        <v>7</v>
      </c>
      <c r="J82" t="s">
        <v>13</v>
      </c>
      <c r="K82" t="s">
        <v>3</v>
      </c>
      <c r="L82" t="s">
        <v>14</v>
      </c>
      <c r="M82">
        <v>133</v>
      </c>
      <c r="N82">
        <v>155.61000000000001</v>
      </c>
      <c r="O82">
        <f>Base_ventes[[#This Row],[BD_2.SELLING PRICE]]*Base_ventes[[#This Row],[QUANTITY]]</f>
        <v>466.83000000000004</v>
      </c>
      <c r="P82">
        <f>Base_ventes[[#This Row],[BD_2.BUYING PRIZE]]*Base_ventes[[#This Row],[QUANTITY]]</f>
        <v>399</v>
      </c>
      <c r="Q82">
        <f>Base_ventes[[#This Row],[Montant Vendu]]-Base_ventes[[#This Row],[Montant Acheté]]</f>
        <v>67.830000000000041</v>
      </c>
    </row>
    <row r="83" spans="1:17" x14ac:dyDescent="0.3">
      <c r="A83" s="1">
        <v>44296</v>
      </c>
      <c r="B83">
        <f>YEAR(Base_ventes[[#This Row],[DATE]])</f>
        <v>2021</v>
      </c>
      <c r="C83">
        <f>MONTH(Base_ventes[[#This Row],[DATE]])</f>
        <v>4</v>
      </c>
      <c r="D8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83" t="s">
        <v>50</v>
      </c>
      <c r="F83">
        <v>14</v>
      </c>
      <c r="G83" t="s">
        <v>87</v>
      </c>
      <c r="H83" t="s">
        <v>82</v>
      </c>
      <c r="I83">
        <v>40</v>
      </c>
      <c r="J83" t="s">
        <v>51</v>
      </c>
      <c r="K83" t="s">
        <v>47</v>
      </c>
      <c r="L83" t="s">
        <v>14</v>
      </c>
      <c r="M83">
        <v>121</v>
      </c>
      <c r="N83">
        <v>141.57</v>
      </c>
      <c r="O83">
        <f>Base_ventes[[#This Row],[BD_2.SELLING PRICE]]*Base_ventes[[#This Row],[QUANTITY]]</f>
        <v>1981.98</v>
      </c>
      <c r="P83">
        <f>Base_ventes[[#This Row],[BD_2.BUYING PRIZE]]*Base_ventes[[#This Row],[QUANTITY]]</f>
        <v>1694</v>
      </c>
      <c r="Q83">
        <f>Base_ventes[[#This Row],[Montant Vendu]]-Base_ventes[[#This Row],[Montant Acheté]]</f>
        <v>287.98</v>
      </c>
    </row>
    <row r="84" spans="1:17" x14ac:dyDescent="0.3">
      <c r="A84" s="1">
        <v>44298</v>
      </c>
      <c r="B84">
        <f>YEAR(Base_ventes[[#This Row],[DATE]])</f>
        <v>2021</v>
      </c>
      <c r="C84">
        <f>MONTH(Base_ventes[[#This Row],[DATE]])</f>
        <v>4</v>
      </c>
      <c r="D8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84" t="s">
        <v>98</v>
      </c>
      <c r="F84">
        <v>3</v>
      </c>
      <c r="G84" t="s">
        <v>87</v>
      </c>
      <c r="H84" t="s">
        <v>84</v>
      </c>
      <c r="I84">
        <v>53</v>
      </c>
      <c r="J84" t="s">
        <v>99</v>
      </c>
      <c r="K84" t="s">
        <v>86</v>
      </c>
      <c r="L84" t="s">
        <v>4</v>
      </c>
      <c r="M84">
        <v>67</v>
      </c>
      <c r="N84">
        <v>85.76</v>
      </c>
      <c r="O84">
        <f>Base_ventes[[#This Row],[BD_2.SELLING PRICE]]*Base_ventes[[#This Row],[QUANTITY]]</f>
        <v>257.28000000000003</v>
      </c>
      <c r="P84">
        <f>Base_ventes[[#This Row],[BD_2.BUYING PRIZE]]*Base_ventes[[#This Row],[QUANTITY]]</f>
        <v>201</v>
      </c>
      <c r="Q84">
        <f>Base_ventes[[#This Row],[Montant Vendu]]-Base_ventes[[#This Row],[Montant Acheté]]</f>
        <v>56.28000000000003</v>
      </c>
    </row>
    <row r="85" spans="1:17" x14ac:dyDescent="0.3">
      <c r="A85" s="1">
        <v>44298</v>
      </c>
      <c r="B85">
        <f>YEAR(Base_ventes[[#This Row],[DATE]])</f>
        <v>2021</v>
      </c>
      <c r="C85">
        <f>MONTH(Base_ventes[[#This Row],[DATE]])</f>
        <v>4</v>
      </c>
      <c r="D8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85" t="s">
        <v>65</v>
      </c>
      <c r="F85">
        <v>4</v>
      </c>
      <c r="G85" t="s">
        <v>87</v>
      </c>
      <c r="H85" t="s">
        <v>82</v>
      </c>
      <c r="I85">
        <v>53</v>
      </c>
      <c r="J85" t="s">
        <v>66</v>
      </c>
      <c r="K85" t="s">
        <v>60</v>
      </c>
      <c r="L85" t="s">
        <v>11</v>
      </c>
      <c r="M85">
        <v>47</v>
      </c>
      <c r="N85">
        <v>53.11</v>
      </c>
      <c r="O85">
        <f>Base_ventes[[#This Row],[BD_2.SELLING PRICE]]*Base_ventes[[#This Row],[QUANTITY]]</f>
        <v>212.44</v>
      </c>
      <c r="P85">
        <f>Base_ventes[[#This Row],[BD_2.BUYING PRIZE]]*Base_ventes[[#This Row],[QUANTITY]]</f>
        <v>188</v>
      </c>
      <c r="Q85">
        <f>Base_ventes[[#This Row],[Montant Vendu]]-Base_ventes[[#This Row],[Montant Acheté]]</f>
        <v>24.439999999999998</v>
      </c>
    </row>
    <row r="86" spans="1:17" x14ac:dyDescent="0.3">
      <c r="A86" s="1">
        <v>44298</v>
      </c>
      <c r="B86">
        <f>YEAR(Base_ventes[[#This Row],[DATE]])</f>
        <v>2021</v>
      </c>
      <c r="C86">
        <f>MONTH(Base_ventes[[#This Row],[DATE]])</f>
        <v>4</v>
      </c>
      <c r="D8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86" t="s">
        <v>61</v>
      </c>
      <c r="F86">
        <v>9</v>
      </c>
      <c r="G86" t="s">
        <v>87</v>
      </c>
      <c r="H86" t="s">
        <v>82</v>
      </c>
      <c r="I86">
        <v>84</v>
      </c>
      <c r="J86" t="s">
        <v>62</v>
      </c>
      <c r="K86" t="s">
        <v>60</v>
      </c>
      <c r="L86" t="s">
        <v>11</v>
      </c>
      <c r="M86">
        <v>48</v>
      </c>
      <c r="N86">
        <v>57.120000000000005</v>
      </c>
      <c r="O86">
        <f>Base_ventes[[#This Row],[BD_2.SELLING PRICE]]*Base_ventes[[#This Row],[QUANTITY]]</f>
        <v>514.08000000000004</v>
      </c>
      <c r="P86">
        <f>Base_ventes[[#This Row],[BD_2.BUYING PRIZE]]*Base_ventes[[#This Row],[QUANTITY]]</f>
        <v>432</v>
      </c>
      <c r="Q86">
        <f>Base_ventes[[#This Row],[Montant Vendu]]-Base_ventes[[#This Row],[Montant Acheté]]</f>
        <v>82.080000000000041</v>
      </c>
    </row>
    <row r="87" spans="1:17" x14ac:dyDescent="0.3">
      <c r="A87" s="1">
        <v>44298</v>
      </c>
      <c r="B87">
        <f>YEAR(Base_ventes[[#This Row],[DATE]])</f>
        <v>2021</v>
      </c>
      <c r="C87">
        <f>MONTH(Base_ventes[[#This Row],[DATE]])</f>
        <v>4</v>
      </c>
      <c r="D8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87" t="s">
        <v>92</v>
      </c>
      <c r="F87">
        <v>13</v>
      </c>
      <c r="G87" t="s">
        <v>87</v>
      </c>
      <c r="H87" t="s">
        <v>84</v>
      </c>
      <c r="I87">
        <v>1</v>
      </c>
      <c r="J87" t="s">
        <v>93</v>
      </c>
      <c r="K87" t="s">
        <v>60</v>
      </c>
      <c r="L87" t="s">
        <v>4</v>
      </c>
      <c r="M87">
        <v>95</v>
      </c>
      <c r="N87">
        <v>119.7</v>
      </c>
      <c r="O87">
        <f>Base_ventes[[#This Row],[BD_2.SELLING PRICE]]*Base_ventes[[#This Row],[QUANTITY]]</f>
        <v>1556.1000000000001</v>
      </c>
      <c r="P87">
        <f>Base_ventes[[#This Row],[BD_2.BUYING PRIZE]]*Base_ventes[[#This Row],[QUANTITY]]</f>
        <v>1235</v>
      </c>
      <c r="Q87">
        <f>Base_ventes[[#This Row],[Montant Vendu]]-Base_ventes[[#This Row],[Montant Acheté]]</f>
        <v>321.10000000000014</v>
      </c>
    </row>
    <row r="88" spans="1:17" x14ac:dyDescent="0.3">
      <c r="A88" s="1">
        <v>44301</v>
      </c>
      <c r="B88">
        <f>YEAR(Base_ventes[[#This Row],[DATE]])</f>
        <v>2021</v>
      </c>
      <c r="C88">
        <f>MONTH(Base_ventes[[#This Row],[DATE]])</f>
        <v>4</v>
      </c>
      <c r="D8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88" t="s">
        <v>39</v>
      </c>
      <c r="F88">
        <v>3</v>
      </c>
      <c r="G88" t="s">
        <v>87</v>
      </c>
      <c r="H88" t="s">
        <v>82</v>
      </c>
      <c r="I88">
        <v>74</v>
      </c>
      <c r="J88" t="s">
        <v>40</v>
      </c>
      <c r="K88" t="s">
        <v>26</v>
      </c>
      <c r="L88" t="s">
        <v>14</v>
      </c>
      <c r="M88">
        <v>134</v>
      </c>
      <c r="N88">
        <v>156.78</v>
      </c>
      <c r="O88">
        <f>Base_ventes[[#This Row],[BD_2.SELLING PRICE]]*Base_ventes[[#This Row],[QUANTITY]]</f>
        <v>470.34000000000003</v>
      </c>
      <c r="P88">
        <f>Base_ventes[[#This Row],[BD_2.BUYING PRIZE]]*Base_ventes[[#This Row],[QUANTITY]]</f>
        <v>402</v>
      </c>
      <c r="Q88">
        <f>Base_ventes[[#This Row],[Montant Vendu]]-Base_ventes[[#This Row],[Montant Acheté]]</f>
        <v>68.340000000000032</v>
      </c>
    </row>
    <row r="89" spans="1:17" x14ac:dyDescent="0.3">
      <c r="A89" s="1">
        <v>44302</v>
      </c>
      <c r="B89">
        <f>YEAR(Base_ventes[[#This Row],[DATE]])</f>
        <v>2021</v>
      </c>
      <c r="C89">
        <f>MONTH(Base_ventes[[#This Row],[DATE]])</f>
        <v>4</v>
      </c>
      <c r="D8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89" t="s">
        <v>41</v>
      </c>
      <c r="F89">
        <v>15</v>
      </c>
      <c r="G89" t="s">
        <v>87</v>
      </c>
      <c r="H89" t="s">
        <v>84</v>
      </c>
      <c r="I89">
        <v>48</v>
      </c>
      <c r="J89" t="s">
        <v>42</v>
      </c>
      <c r="K89" t="s">
        <v>26</v>
      </c>
      <c r="L89" t="s">
        <v>23</v>
      </c>
      <c r="M89">
        <v>37</v>
      </c>
      <c r="N89">
        <v>49.21</v>
      </c>
      <c r="O89">
        <f>Base_ventes[[#This Row],[BD_2.SELLING PRICE]]*Base_ventes[[#This Row],[QUANTITY]]</f>
        <v>738.15</v>
      </c>
      <c r="P89">
        <f>Base_ventes[[#This Row],[BD_2.BUYING PRIZE]]*Base_ventes[[#This Row],[QUANTITY]]</f>
        <v>555</v>
      </c>
      <c r="Q89">
        <f>Base_ventes[[#This Row],[Montant Vendu]]-Base_ventes[[#This Row],[Montant Acheté]]</f>
        <v>183.14999999999998</v>
      </c>
    </row>
    <row r="90" spans="1:17" x14ac:dyDescent="0.3">
      <c r="A90" s="1">
        <v>44304</v>
      </c>
      <c r="B90">
        <f>YEAR(Base_ventes[[#This Row],[DATE]])</f>
        <v>2021</v>
      </c>
      <c r="C90">
        <f>MONTH(Base_ventes[[#This Row],[DATE]])</f>
        <v>4</v>
      </c>
      <c r="D9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90" t="s">
        <v>83</v>
      </c>
      <c r="F90">
        <v>9</v>
      </c>
      <c r="G90" t="s">
        <v>81</v>
      </c>
      <c r="H90" t="s">
        <v>82</v>
      </c>
      <c r="I90">
        <v>41</v>
      </c>
      <c r="J90" t="s">
        <v>85</v>
      </c>
      <c r="K90" t="s">
        <v>86</v>
      </c>
      <c r="L90" t="s">
        <v>4</v>
      </c>
      <c r="M90">
        <v>72</v>
      </c>
      <c r="N90">
        <v>79.92</v>
      </c>
      <c r="O90">
        <f>Base_ventes[[#This Row],[BD_2.SELLING PRICE]]*Base_ventes[[#This Row],[QUANTITY]]</f>
        <v>719.28</v>
      </c>
      <c r="P90">
        <f>Base_ventes[[#This Row],[BD_2.BUYING PRIZE]]*Base_ventes[[#This Row],[QUANTITY]]</f>
        <v>648</v>
      </c>
      <c r="Q90">
        <f>Base_ventes[[#This Row],[Montant Vendu]]-Base_ventes[[#This Row],[Montant Acheté]]</f>
        <v>71.279999999999973</v>
      </c>
    </row>
    <row r="91" spans="1:17" x14ac:dyDescent="0.3">
      <c r="A91" s="1">
        <v>44304</v>
      </c>
      <c r="B91">
        <f>YEAR(Base_ventes[[#This Row],[DATE]])</f>
        <v>2021</v>
      </c>
      <c r="C91">
        <f>MONTH(Base_ventes[[#This Row],[DATE]])</f>
        <v>4</v>
      </c>
      <c r="D9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91" t="s">
        <v>43</v>
      </c>
      <c r="F91">
        <v>13</v>
      </c>
      <c r="G91" t="s">
        <v>87</v>
      </c>
      <c r="H91" t="s">
        <v>84</v>
      </c>
      <c r="I91">
        <v>69</v>
      </c>
      <c r="J91" t="s">
        <v>44</v>
      </c>
      <c r="K91" t="s">
        <v>26</v>
      </c>
      <c r="L91" t="s">
        <v>14</v>
      </c>
      <c r="M91">
        <v>150</v>
      </c>
      <c r="N91">
        <v>210</v>
      </c>
      <c r="O91">
        <f>Base_ventes[[#This Row],[BD_2.SELLING PRICE]]*Base_ventes[[#This Row],[QUANTITY]]</f>
        <v>2730</v>
      </c>
      <c r="P91">
        <f>Base_ventes[[#This Row],[BD_2.BUYING PRIZE]]*Base_ventes[[#This Row],[QUANTITY]]</f>
        <v>1950</v>
      </c>
      <c r="Q91">
        <f>Base_ventes[[#This Row],[Montant Vendu]]-Base_ventes[[#This Row],[Montant Acheté]]</f>
        <v>780</v>
      </c>
    </row>
    <row r="92" spans="1:17" x14ac:dyDescent="0.3">
      <c r="A92" s="1">
        <v>44309</v>
      </c>
      <c r="B92">
        <f>YEAR(Base_ventes[[#This Row],[DATE]])</f>
        <v>2021</v>
      </c>
      <c r="C92">
        <f>MONTH(Base_ventes[[#This Row],[DATE]])</f>
        <v>4</v>
      </c>
      <c r="D9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92" t="s">
        <v>106</v>
      </c>
      <c r="F92">
        <v>6</v>
      </c>
      <c r="G92" t="s">
        <v>87</v>
      </c>
      <c r="H92" t="s">
        <v>82</v>
      </c>
      <c r="I92">
        <v>72</v>
      </c>
      <c r="J92" t="s">
        <v>107</v>
      </c>
      <c r="K92" t="s">
        <v>86</v>
      </c>
      <c r="L92" t="s">
        <v>14</v>
      </c>
      <c r="M92">
        <v>120</v>
      </c>
      <c r="N92">
        <v>162</v>
      </c>
      <c r="O92">
        <f>Base_ventes[[#This Row],[BD_2.SELLING PRICE]]*Base_ventes[[#This Row],[QUANTITY]]</f>
        <v>972</v>
      </c>
      <c r="P92">
        <f>Base_ventes[[#This Row],[BD_2.BUYING PRIZE]]*Base_ventes[[#This Row],[QUANTITY]]</f>
        <v>720</v>
      </c>
      <c r="Q92">
        <f>Base_ventes[[#This Row],[Montant Vendu]]-Base_ventes[[#This Row],[Montant Acheté]]</f>
        <v>252</v>
      </c>
    </row>
    <row r="93" spans="1:17" x14ac:dyDescent="0.3">
      <c r="A93" s="1">
        <v>44309</v>
      </c>
      <c r="B93">
        <f>YEAR(Base_ventes[[#This Row],[DATE]])</f>
        <v>2021</v>
      </c>
      <c r="C93">
        <f>MONTH(Base_ventes[[#This Row],[DATE]])</f>
        <v>4</v>
      </c>
      <c r="D9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93" t="s">
        <v>63</v>
      </c>
      <c r="F93">
        <v>10</v>
      </c>
      <c r="G93" t="s">
        <v>87</v>
      </c>
      <c r="H93" t="s">
        <v>82</v>
      </c>
      <c r="I93">
        <v>62</v>
      </c>
      <c r="J93" t="s">
        <v>64</v>
      </c>
      <c r="K93" t="s">
        <v>60</v>
      </c>
      <c r="L93" t="s">
        <v>23</v>
      </c>
      <c r="M93">
        <v>37</v>
      </c>
      <c r="N93">
        <v>41.81</v>
      </c>
      <c r="O93">
        <f>Base_ventes[[#This Row],[BD_2.SELLING PRICE]]*Base_ventes[[#This Row],[QUANTITY]]</f>
        <v>418.1</v>
      </c>
      <c r="P93">
        <f>Base_ventes[[#This Row],[BD_2.BUYING PRIZE]]*Base_ventes[[#This Row],[QUANTITY]]</f>
        <v>370</v>
      </c>
      <c r="Q93">
        <f>Base_ventes[[#This Row],[Montant Vendu]]-Base_ventes[[#This Row],[Montant Acheté]]</f>
        <v>48.100000000000023</v>
      </c>
    </row>
    <row r="94" spans="1:17" x14ac:dyDescent="0.3">
      <c r="A94" s="1">
        <v>44310</v>
      </c>
      <c r="B94">
        <f>YEAR(Base_ventes[[#This Row],[DATE]])</f>
        <v>2021</v>
      </c>
      <c r="C94">
        <f>MONTH(Base_ventes[[#This Row],[DATE]])</f>
        <v>4</v>
      </c>
      <c r="D9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94" t="s">
        <v>67</v>
      </c>
      <c r="F94">
        <v>2</v>
      </c>
      <c r="G94" t="s">
        <v>82</v>
      </c>
      <c r="H94" t="s">
        <v>82</v>
      </c>
      <c r="I94">
        <v>16</v>
      </c>
      <c r="J94" t="s">
        <v>68</v>
      </c>
      <c r="K94" t="s">
        <v>60</v>
      </c>
      <c r="L94" t="s">
        <v>14</v>
      </c>
      <c r="M94">
        <v>148</v>
      </c>
      <c r="N94">
        <v>201.28</v>
      </c>
      <c r="O94">
        <f>Base_ventes[[#This Row],[BD_2.SELLING PRICE]]*Base_ventes[[#This Row],[QUANTITY]]</f>
        <v>402.56</v>
      </c>
      <c r="P94">
        <f>Base_ventes[[#This Row],[BD_2.BUYING PRIZE]]*Base_ventes[[#This Row],[QUANTITY]]</f>
        <v>296</v>
      </c>
      <c r="Q94">
        <f>Base_ventes[[#This Row],[Montant Vendu]]-Base_ventes[[#This Row],[Montant Acheté]]</f>
        <v>106.56</v>
      </c>
    </row>
    <row r="95" spans="1:17" x14ac:dyDescent="0.3">
      <c r="A95" s="1">
        <v>44312</v>
      </c>
      <c r="B95">
        <f>YEAR(Base_ventes[[#This Row],[DATE]])</f>
        <v>2021</v>
      </c>
      <c r="C95">
        <f>MONTH(Base_ventes[[#This Row],[DATE]])</f>
        <v>4</v>
      </c>
      <c r="D9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95" t="s">
        <v>98</v>
      </c>
      <c r="F95">
        <v>3</v>
      </c>
      <c r="G95" t="s">
        <v>87</v>
      </c>
      <c r="H95" t="s">
        <v>82</v>
      </c>
      <c r="I95">
        <v>23</v>
      </c>
      <c r="J95" t="s">
        <v>99</v>
      </c>
      <c r="K95" t="s">
        <v>86</v>
      </c>
      <c r="L95" t="s">
        <v>4</v>
      </c>
      <c r="M95">
        <v>67</v>
      </c>
      <c r="N95">
        <v>85.76</v>
      </c>
      <c r="O95">
        <f>Base_ventes[[#This Row],[BD_2.SELLING PRICE]]*Base_ventes[[#This Row],[QUANTITY]]</f>
        <v>257.28000000000003</v>
      </c>
      <c r="P95">
        <f>Base_ventes[[#This Row],[BD_2.BUYING PRIZE]]*Base_ventes[[#This Row],[QUANTITY]]</f>
        <v>201</v>
      </c>
      <c r="Q95">
        <f>Base_ventes[[#This Row],[Montant Vendu]]-Base_ventes[[#This Row],[Montant Acheté]]</f>
        <v>56.28000000000003</v>
      </c>
    </row>
    <row r="96" spans="1:17" x14ac:dyDescent="0.3">
      <c r="A96" s="1">
        <v>44315</v>
      </c>
      <c r="B96">
        <f>YEAR(Base_ventes[[#This Row],[DATE]])</f>
        <v>2021</v>
      </c>
      <c r="C96">
        <f>MONTH(Base_ventes[[#This Row],[DATE]])</f>
        <v>4</v>
      </c>
      <c r="D9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96" t="s">
        <v>67</v>
      </c>
      <c r="F96">
        <v>7</v>
      </c>
      <c r="G96" t="s">
        <v>87</v>
      </c>
      <c r="H96" t="s">
        <v>82</v>
      </c>
      <c r="I96">
        <v>20</v>
      </c>
      <c r="J96" t="s">
        <v>68</v>
      </c>
      <c r="K96" t="s">
        <v>60</v>
      </c>
      <c r="L96" t="s">
        <v>14</v>
      </c>
      <c r="M96">
        <v>148</v>
      </c>
      <c r="N96">
        <v>201.28</v>
      </c>
      <c r="O96">
        <f>Base_ventes[[#This Row],[BD_2.SELLING PRICE]]*Base_ventes[[#This Row],[QUANTITY]]</f>
        <v>1408.96</v>
      </c>
      <c r="P96">
        <f>Base_ventes[[#This Row],[BD_2.BUYING PRIZE]]*Base_ventes[[#This Row],[QUANTITY]]</f>
        <v>1036</v>
      </c>
      <c r="Q96">
        <f>Base_ventes[[#This Row],[Montant Vendu]]-Base_ventes[[#This Row],[Montant Acheté]]</f>
        <v>372.96000000000004</v>
      </c>
    </row>
    <row r="97" spans="1:17" x14ac:dyDescent="0.3">
      <c r="A97" s="1">
        <v>44316</v>
      </c>
      <c r="B97">
        <f>YEAR(Base_ventes[[#This Row],[DATE]])</f>
        <v>2021</v>
      </c>
      <c r="C97">
        <f>MONTH(Base_ventes[[#This Row],[DATE]])</f>
        <v>4</v>
      </c>
      <c r="D9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97" t="s">
        <v>65</v>
      </c>
      <c r="F97">
        <v>1</v>
      </c>
      <c r="G97" t="s">
        <v>87</v>
      </c>
      <c r="H97" t="s">
        <v>82</v>
      </c>
      <c r="I97">
        <v>19</v>
      </c>
      <c r="J97" t="s">
        <v>66</v>
      </c>
      <c r="K97" t="s">
        <v>60</v>
      </c>
      <c r="L97" t="s">
        <v>11</v>
      </c>
      <c r="M97">
        <v>47</v>
      </c>
      <c r="N97">
        <v>53.11</v>
      </c>
      <c r="O97">
        <f>Base_ventes[[#This Row],[BD_2.SELLING PRICE]]*Base_ventes[[#This Row],[QUANTITY]]</f>
        <v>53.11</v>
      </c>
      <c r="P97">
        <f>Base_ventes[[#This Row],[BD_2.BUYING PRIZE]]*Base_ventes[[#This Row],[QUANTITY]]</f>
        <v>47</v>
      </c>
      <c r="Q97">
        <f>Base_ventes[[#This Row],[Montant Vendu]]-Base_ventes[[#This Row],[Montant Acheté]]</f>
        <v>6.1099999999999994</v>
      </c>
    </row>
    <row r="98" spans="1:17" x14ac:dyDescent="0.3">
      <c r="A98" s="1">
        <v>44317</v>
      </c>
      <c r="B98">
        <f>YEAR(Base_ventes[[#This Row],[DATE]])</f>
        <v>2021</v>
      </c>
      <c r="C98">
        <f>MONTH(Base_ventes[[#This Row],[DATE]])</f>
        <v>5</v>
      </c>
      <c r="D9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98" t="s">
        <v>41</v>
      </c>
      <c r="F98">
        <v>3</v>
      </c>
      <c r="G98" t="s">
        <v>82</v>
      </c>
      <c r="H98" t="s">
        <v>84</v>
      </c>
      <c r="I98">
        <v>80</v>
      </c>
      <c r="J98" t="s">
        <v>42</v>
      </c>
      <c r="K98" t="s">
        <v>26</v>
      </c>
      <c r="L98" t="s">
        <v>23</v>
      </c>
      <c r="M98">
        <v>37</v>
      </c>
      <c r="N98">
        <v>49.21</v>
      </c>
      <c r="O98">
        <f>Base_ventes[[#This Row],[BD_2.SELLING PRICE]]*Base_ventes[[#This Row],[QUANTITY]]</f>
        <v>147.63</v>
      </c>
      <c r="P98">
        <f>Base_ventes[[#This Row],[BD_2.BUYING PRIZE]]*Base_ventes[[#This Row],[QUANTITY]]</f>
        <v>111</v>
      </c>
      <c r="Q98">
        <f>Base_ventes[[#This Row],[Montant Vendu]]-Base_ventes[[#This Row],[Montant Acheté]]</f>
        <v>36.629999999999995</v>
      </c>
    </row>
    <row r="99" spans="1:17" x14ac:dyDescent="0.3">
      <c r="A99" s="1">
        <v>44317</v>
      </c>
      <c r="B99">
        <f>YEAR(Base_ventes[[#This Row],[DATE]])</f>
        <v>2021</v>
      </c>
      <c r="C99">
        <f>MONTH(Base_ventes[[#This Row],[DATE]])</f>
        <v>5</v>
      </c>
      <c r="D9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99" t="s">
        <v>106</v>
      </c>
      <c r="F99">
        <v>1</v>
      </c>
      <c r="G99" t="s">
        <v>82</v>
      </c>
      <c r="H99" t="s">
        <v>84</v>
      </c>
      <c r="I99">
        <v>86</v>
      </c>
      <c r="J99" t="s">
        <v>107</v>
      </c>
      <c r="K99" t="s">
        <v>86</v>
      </c>
      <c r="L99" t="s">
        <v>14</v>
      </c>
      <c r="M99">
        <v>120</v>
      </c>
      <c r="N99">
        <v>162</v>
      </c>
      <c r="O99">
        <f>Base_ventes[[#This Row],[BD_2.SELLING PRICE]]*Base_ventes[[#This Row],[QUANTITY]]</f>
        <v>162</v>
      </c>
      <c r="P99">
        <f>Base_ventes[[#This Row],[BD_2.BUYING PRIZE]]*Base_ventes[[#This Row],[QUANTITY]]</f>
        <v>120</v>
      </c>
      <c r="Q99">
        <f>Base_ventes[[#This Row],[Montant Vendu]]-Base_ventes[[#This Row],[Montant Acheté]]</f>
        <v>42</v>
      </c>
    </row>
    <row r="100" spans="1:17" x14ac:dyDescent="0.3">
      <c r="A100" s="1">
        <v>44319</v>
      </c>
      <c r="B100">
        <f>YEAR(Base_ventes[[#This Row],[DATE]])</f>
        <v>2021</v>
      </c>
      <c r="C100">
        <f>MONTH(Base_ventes[[#This Row],[DATE]])</f>
        <v>5</v>
      </c>
      <c r="D10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100" t="s">
        <v>94</v>
      </c>
      <c r="F100">
        <v>3</v>
      </c>
      <c r="G100" t="s">
        <v>82</v>
      </c>
      <c r="H100" t="s">
        <v>82</v>
      </c>
      <c r="I100">
        <v>83</v>
      </c>
      <c r="J100" t="s">
        <v>95</v>
      </c>
      <c r="K100" t="s">
        <v>60</v>
      </c>
      <c r="L100" t="s">
        <v>11</v>
      </c>
      <c r="M100">
        <v>55</v>
      </c>
      <c r="N100">
        <v>58.3</v>
      </c>
      <c r="O100">
        <f>Base_ventes[[#This Row],[BD_2.SELLING PRICE]]*Base_ventes[[#This Row],[QUANTITY]]</f>
        <v>174.89999999999998</v>
      </c>
      <c r="P100">
        <f>Base_ventes[[#This Row],[BD_2.BUYING PRIZE]]*Base_ventes[[#This Row],[QUANTITY]]</f>
        <v>165</v>
      </c>
      <c r="Q100">
        <f>Base_ventes[[#This Row],[Montant Vendu]]-Base_ventes[[#This Row],[Montant Acheté]]</f>
        <v>9.8999999999999773</v>
      </c>
    </row>
    <row r="101" spans="1:17" x14ac:dyDescent="0.3">
      <c r="A101" s="1">
        <v>44320</v>
      </c>
      <c r="B101">
        <f>YEAR(Base_ventes[[#This Row],[DATE]])</f>
        <v>2021</v>
      </c>
      <c r="C101">
        <f>MONTH(Base_ventes[[#This Row],[DATE]])</f>
        <v>5</v>
      </c>
      <c r="D10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101" t="s">
        <v>35</v>
      </c>
      <c r="F101">
        <v>13</v>
      </c>
      <c r="G101" t="s">
        <v>82</v>
      </c>
      <c r="H101" t="s">
        <v>82</v>
      </c>
      <c r="I101">
        <v>77</v>
      </c>
      <c r="J101" t="s">
        <v>36</v>
      </c>
      <c r="K101" t="s">
        <v>26</v>
      </c>
      <c r="L101" t="s">
        <v>23</v>
      </c>
      <c r="M101">
        <v>12</v>
      </c>
      <c r="N101">
        <v>15.719999999999999</v>
      </c>
      <c r="O101">
        <f>Base_ventes[[#This Row],[BD_2.SELLING PRICE]]*Base_ventes[[#This Row],[QUANTITY]]</f>
        <v>204.35999999999999</v>
      </c>
      <c r="P101">
        <f>Base_ventes[[#This Row],[BD_2.BUYING PRIZE]]*Base_ventes[[#This Row],[QUANTITY]]</f>
        <v>156</v>
      </c>
      <c r="Q101">
        <f>Base_ventes[[#This Row],[Montant Vendu]]-Base_ventes[[#This Row],[Montant Acheté]]</f>
        <v>48.359999999999985</v>
      </c>
    </row>
    <row r="102" spans="1:17" x14ac:dyDescent="0.3">
      <c r="A102" s="1">
        <v>44320</v>
      </c>
      <c r="B102">
        <f>YEAR(Base_ventes[[#This Row],[DATE]])</f>
        <v>2021</v>
      </c>
      <c r="C102">
        <f>MONTH(Base_ventes[[#This Row],[DATE]])</f>
        <v>5</v>
      </c>
      <c r="D10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102" t="s">
        <v>33</v>
      </c>
      <c r="F102">
        <v>4</v>
      </c>
      <c r="G102" t="s">
        <v>87</v>
      </c>
      <c r="H102" t="s">
        <v>84</v>
      </c>
      <c r="I102">
        <v>34</v>
      </c>
      <c r="J102" t="s">
        <v>34</v>
      </c>
      <c r="K102" t="s">
        <v>26</v>
      </c>
      <c r="L102" t="s">
        <v>4</v>
      </c>
      <c r="M102">
        <v>112</v>
      </c>
      <c r="N102">
        <v>146.72</v>
      </c>
      <c r="O102">
        <f>Base_ventes[[#This Row],[BD_2.SELLING PRICE]]*Base_ventes[[#This Row],[QUANTITY]]</f>
        <v>586.88</v>
      </c>
      <c r="P102">
        <f>Base_ventes[[#This Row],[BD_2.BUYING PRIZE]]*Base_ventes[[#This Row],[QUANTITY]]</f>
        <v>448</v>
      </c>
      <c r="Q102">
        <f>Base_ventes[[#This Row],[Montant Vendu]]-Base_ventes[[#This Row],[Montant Acheté]]</f>
        <v>138.88</v>
      </c>
    </row>
    <row r="103" spans="1:17" x14ac:dyDescent="0.3">
      <c r="A103" s="1">
        <v>44321</v>
      </c>
      <c r="B103">
        <f>YEAR(Base_ventes[[#This Row],[DATE]])</f>
        <v>2021</v>
      </c>
      <c r="C103">
        <f>MONTH(Base_ventes[[#This Row],[DATE]])</f>
        <v>5</v>
      </c>
      <c r="D10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103" t="s">
        <v>21</v>
      </c>
      <c r="F103">
        <v>13</v>
      </c>
      <c r="G103" t="s">
        <v>87</v>
      </c>
      <c r="H103" t="s">
        <v>84</v>
      </c>
      <c r="I103">
        <v>30</v>
      </c>
      <c r="J103" t="s">
        <v>22</v>
      </c>
      <c r="K103" t="s">
        <v>3</v>
      </c>
      <c r="L103" t="s">
        <v>23</v>
      </c>
      <c r="M103">
        <v>6</v>
      </c>
      <c r="N103">
        <v>7.8599999999999994</v>
      </c>
      <c r="O103">
        <f>Base_ventes[[#This Row],[BD_2.SELLING PRICE]]*Base_ventes[[#This Row],[QUANTITY]]</f>
        <v>102.17999999999999</v>
      </c>
      <c r="P103">
        <f>Base_ventes[[#This Row],[BD_2.BUYING PRIZE]]*Base_ventes[[#This Row],[QUANTITY]]</f>
        <v>78</v>
      </c>
      <c r="Q103">
        <f>Base_ventes[[#This Row],[Montant Vendu]]-Base_ventes[[#This Row],[Montant Acheté]]</f>
        <v>24.179999999999993</v>
      </c>
    </row>
    <row r="104" spans="1:17" x14ac:dyDescent="0.3">
      <c r="A104" s="1">
        <v>44322</v>
      </c>
      <c r="B104">
        <f>YEAR(Base_ventes[[#This Row],[DATE]])</f>
        <v>2021</v>
      </c>
      <c r="C104">
        <f>MONTH(Base_ventes[[#This Row],[DATE]])</f>
        <v>5</v>
      </c>
      <c r="D10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104" t="s">
        <v>19</v>
      </c>
      <c r="F104">
        <v>15</v>
      </c>
      <c r="G104" t="s">
        <v>87</v>
      </c>
      <c r="H104" t="s">
        <v>82</v>
      </c>
      <c r="I104">
        <v>83</v>
      </c>
      <c r="J104" t="s">
        <v>20</v>
      </c>
      <c r="K104" t="s">
        <v>3</v>
      </c>
      <c r="L104" t="s">
        <v>4</v>
      </c>
      <c r="M104">
        <v>83</v>
      </c>
      <c r="N104">
        <v>94.62</v>
      </c>
      <c r="O104">
        <f>Base_ventes[[#This Row],[BD_2.SELLING PRICE]]*Base_ventes[[#This Row],[QUANTITY]]</f>
        <v>1419.3000000000002</v>
      </c>
      <c r="P104">
        <f>Base_ventes[[#This Row],[BD_2.BUYING PRIZE]]*Base_ventes[[#This Row],[QUANTITY]]</f>
        <v>1245</v>
      </c>
      <c r="Q104">
        <f>Base_ventes[[#This Row],[Montant Vendu]]-Base_ventes[[#This Row],[Montant Acheté]]</f>
        <v>174.30000000000018</v>
      </c>
    </row>
    <row r="105" spans="1:17" x14ac:dyDescent="0.3">
      <c r="A105" s="1">
        <v>44322</v>
      </c>
      <c r="B105">
        <f>YEAR(Base_ventes[[#This Row],[DATE]])</f>
        <v>2021</v>
      </c>
      <c r="C105">
        <f>MONTH(Base_ventes[[#This Row],[DATE]])</f>
        <v>5</v>
      </c>
      <c r="D10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105" t="s">
        <v>21</v>
      </c>
      <c r="F105">
        <v>6</v>
      </c>
      <c r="G105" t="s">
        <v>82</v>
      </c>
      <c r="H105" t="s">
        <v>82</v>
      </c>
      <c r="I105">
        <v>21</v>
      </c>
      <c r="J105" t="s">
        <v>22</v>
      </c>
      <c r="K105" t="s">
        <v>3</v>
      </c>
      <c r="L105" t="s">
        <v>23</v>
      </c>
      <c r="M105">
        <v>6</v>
      </c>
      <c r="N105">
        <v>7.8599999999999994</v>
      </c>
      <c r="O105">
        <f>Base_ventes[[#This Row],[BD_2.SELLING PRICE]]*Base_ventes[[#This Row],[QUANTITY]]</f>
        <v>47.16</v>
      </c>
      <c r="P105">
        <f>Base_ventes[[#This Row],[BD_2.BUYING PRIZE]]*Base_ventes[[#This Row],[QUANTITY]]</f>
        <v>36</v>
      </c>
      <c r="Q105">
        <f>Base_ventes[[#This Row],[Montant Vendu]]-Base_ventes[[#This Row],[Montant Acheté]]</f>
        <v>11.159999999999997</v>
      </c>
    </row>
    <row r="106" spans="1:17" x14ac:dyDescent="0.3">
      <c r="A106" s="1">
        <v>44323</v>
      </c>
      <c r="B106">
        <f>YEAR(Base_ventes[[#This Row],[DATE]])</f>
        <v>2021</v>
      </c>
      <c r="C106">
        <f>MONTH(Base_ventes[[#This Row],[DATE]])</f>
        <v>5</v>
      </c>
      <c r="D10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106" t="s">
        <v>41</v>
      </c>
      <c r="F106">
        <v>1</v>
      </c>
      <c r="G106" t="s">
        <v>87</v>
      </c>
      <c r="H106" t="s">
        <v>84</v>
      </c>
      <c r="I106">
        <v>6</v>
      </c>
      <c r="J106" t="s">
        <v>42</v>
      </c>
      <c r="K106" t="s">
        <v>26</v>
      </c>
      <c r="L106" t="s">
        <v>23</v>
      </c>
      <c r="M106">
        <v>37</v>
      </c>
      <c r="N106">
        <v>49.21</v>
      </c>
      <c r="O106">
        <f>Base_ventes[[#This Row],[BD_2.SELLING PRICE]]*Base_ventes[[#This Row],[QUANTITY]]</f>
        <v>49.21</v>
      </c>
      <c r="P106">
        <f>Base_ventes[[#This Row],[BD_2.BUYING PRIZE]]*Base_ventes[[#This Row],[QUANTITY]]</f>
        <v>37</v>
      </c>
      <c r="Q106">
        <f>Base_ventes[[#This Row],[Montant Vendu]]-Base_ventes[[#This Row],[Montant Acheté]]</f>
        <v>12.21</v>
      </c>
    </row>
    <row r="107" spans="1:17" x14ac:dyDescent="0.3">
      <c r="A107" s="1">
        <v>44325</v>
      </c>
      <c r="B107">
        <f>YEAR(Base_ventes[[#This Row],[DATE]])</f>
        <v>2021</v>
      </c>
      <c r="C107">
        <f>MONTH(Base_ventes[[#This Row],[DATE]])</f>
        <v>5</v>
      </c>
      <c r="D10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107" t="s">
        <v>37</v>
      </c>
      <c r="F107">
        <v>6</v>
      </c>
      <c r="G107" t="s">
        <v>82</v>
      </c>
      <c r="H107" t="s">
        <v>82</v>
      </c>
      <c r="I107">
        <v>20</v>
      </c>
      <c r="J107" t="s">
        <v>38</v>
      </c>
      <c r="K107" t="s">
        <v>26</v>
      </c>
      <c r="L107" t="s">
        <v>23</v>
      </c>
      <c r="M107">
        <v>13</v>
      </c>
      <c r="N107">
        <v>16.64</v>
      </c>
      <c r="O107">
        <f>Base_ventes[[#This Row],[BD_2.SELLING PRICE]]*Base_ventes[[#This Row],[QUANTITY]]</f>
        <v>99.84</v>
      </c>
      <c r="P107">
        <f>Base_ventes[[#This Row],[BD_2.BUYING PRIZE]]*Base_ventes[[#This Row],[QUANTITY]]</f>
        <v>78</v>
      </c>
      <c r="Q107">
        <f>Base_ventes[[#This Row],[Montant Vendu]]-Base_ventes[[#This Row],[Montant Acheté]]</f>
        <v>21.840000000000003</v>
      </c>
    </row>
    <row r="108" spans="1:17" x14ac:dyDescent="0.3">
      <c r="A108" s="1">
        <v>44325</v>
      </c>
      <c r="B108">
        <f>YEAR(Base_ventes[[#This Row],[DATE]])</f>
        <v>2021</v>
      </c>
      <c r="C108">
        <f>MONTH(Base_ventes[[#This Row],[DATE]])</f>
        <v>5</v>
      </c>
      <c r="D10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108" t="s">
        <v>63</v>
      </c>
      <c r="F108">
        <v>8</v>
      </c>
      <c r="G108" t="s">
        <v>87</v>
      </c>
      <c r="H108" t="s">
        <v>84</v>
      </c>
      <c r="I108">
        <v>1</v>
      </c>
      <c r="J108" t="s">
        <v>64</v>
      </c>
      <c r="K108" t="s">
        <v>60</v>
      </c>
      <c r="L108" t="s">
        <v>23</v>
      </c>
      <c r="M108">
        <v>37</v>
      </c>
      <c r="N108">
        <v>41.81</v>
      </c>
      <c r="O108">
        <f>Base_ventes[[#This Row],[BD_2.SELLING PRICE]]*Base_ventes[[#This Row],[QUANTITY]]</f>
        <v>334.48</v>
      </c>
      <c r="P108">
        <f>Base_ventes[[#This Row],[BD_2.BUYING PRIZE]]*Base_ventes[[#This Row],[QUANTITY]]</f>
        <v>296</v>
      </c>
      <c r="Q108">
        <f>Base_ventes[[#This Row],[Montant Vendu]]-Base_ventes[[#This Row],[Montant Acheté]]</f>
        <v>38.480000000000018</v>
      </c>
    </row>
    <row r="109" spans="1:17" x14ac:dyDescent="0.3">
      <c r="A109" s="1">
        <v>44328</v>
      </c>
      <c r="B109">
        <f>YEAR(Base_ventes[[#This Row],[DATE]])</f>
        <v>2021</v>
      </c>
      <c r="C109">
        <f>MONTH(Base_ventes[[#This Row],[DATE]])</f>
        <v>5</v>
      </c>
      <c r="D10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109" t="s">
        <v>37</v>
      </c>
      <c r="F109">
        <v>3</v>
      </c>
      <c r="G109" t="s">
        <v>87</v>
      </c>
      <c r="H109" t="s">
        <v>82</v>
      </c>
      <c r="I109">
        <v>36</v>
      </c>
      <c r="J109" t="s">
        <v>38</v>
      </c>
      <c r="K109" t="s">
        <v>26</v>
      </c>
      <c r="L109" t="s">
        <v>23</v>
      </c>
      <c r="M109">
        <v>13</v>
      </c>
      <c r="N109">
        <v>16.64</v>
      </c>
      <c r="O109">
        <f>Base_ventes[[#This Row],[BD_2.SELLING PRICE]]*Base_ventes[[#This Row],[QUANTITY]]</f>
        <v>49.92</v>
      </c>
      <c r="P109">
        <f>Base_ventes[[#This Row],[BD_2.BUYING PRIZE]]*Base_ventes[[#This Row],[QUANTITY]]</f>
        <v>39</v>
      </c>
      <c r="Q109">
        <f>Base_ventes[[#This Row],[Montant Vendu]]-Base_ventes[[#This Row],[Montant Acheté]]</f>
        <v>10.920000000000002</v>
      </c>
    </row>
    <row r="110" spans="1:17" x14ac:dyDescent="0.3">
      <c r="A110" s="1">
        <v>44328</v>
      </c>
      <c r="B110">
        <f>YEAR(Base_ventes[[#This Row],[DATE]])</f>
        <v>2021</v>
      </c>
      <c r="C110">
        <f>MONTH(Base_ventes[[#This Row],[DATE]])</f>
        <v>5</v>
      </c>
      <c r="D11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110" t="s">
        <v>88</v>
      </c>
      <c r="F110">
        <v>15</v>
      </c>
      <c r="G110" t="s">
        <v>87</v>
      </c>
      <c r="H110" t="s">
        <v>82</v>
      </c>
      <c r="I110">
        <v>42</v>
      </c>
      <c r="J110" t="s">
        <v>89</v>
      </c>
      <c r="K110" t="s">
        <v>60</v>
      </c>
      <c r="L110" t="s">
        <v>23</v>
      </c>
      <c r="M110">
        <v>5</v>
      </c>
      <c r="N110">
        <v>6.7</v>
      </c>
      <c r="O110">
        <f>Base_ventes[[#This Row],[BD_2.SELLING PRICE]]*Base_ventes[[#This Row],[QUANTITY]]</f>
        <v>100.5</v>
      </c>
      <c r="P110">
        <f>Base_ventes[[#This Row],[BD_2.BUYING PRIZE]]*Base_ventes[[#This Row],[QUANTITY]]</f>
        <v>75</v>
      </c>
      <c r="Q110">
        <f>Base_ventes[[#This Row],[Montant Vendu]]-Base_ventes[[#This Row],[Montant Acheté]]</f>
        <v>25.5</v>
      </c>
    </row>
    <row r="111" spans="1:17" x14ac:dyDescent="0.3">
      <c r="A111" s="1">
        <v>44329</v>
      </c>
      <c r="B111">
        <f>YEAR(Base_ventes[[#This Row],[DATE]])</f>
        <v>2021</v>
      </c>
      <c r="C111">
        <f>MONTH(Base_ventes[[#This Row],[DATE]])</f>
        <v>5</v>
      </c>
      <c r="D11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111" t="s">
        <v>65</v>
      </c>
      <c r="F111">
        <v>4</v>
      </c>
      <c r="G111" t="s">
        <v>87</v>
      </c>
      <c r="H111" t="s">
        <v>82</v>
      </c>
      <c r="I111">
        <v>50</v>
      </c>
      <c r="J111" t="s">
        <v>66</v>
      </c>
      <c r="K111" t="s">
        <v>60</v>
      </c>
      <c r="L111" t="s">
        <v>11</v>
      </c>
      <c r="M111">
        <v>47</v>
      </c>
      <c r="N111">
        <v>53.11</v>
      </c>
      <c r="O111">
        <f>Base_ventes[[#This Row],[BD_2.SELLING PRICE]]*Base_ventes[[#This Row],[QUANTITY]]</f>
        <v>212.44</v>
      </c>
      <c r="P111">
        <f>Base_ventes[[#This Row],[BD_2.BUYING PRIZE]]*Base_ventes[[#This Row],[QUANTITY]]</f>
        <v>188</v>
      </c>
      <c r="Q111">
        <f>Base_ventes[[#This Row],[Montant Vendu]]-Base_ventes[[#This Row],[Montant Acheté]]</f>
        <v>24.439999999999998</v>
      </c>
    </row>
    <row r="112" spans="1:17" x14ac:dyDescent="0.3">
      <c r="A112" s="1">
        <v>44336</v>
      </c>
      <c r="B112">
        <f>YEAR(Base_ventes[[#This Row],[DATE]])</f>
        <v>2021</v>
      </c>
      <c r="C112">
        <f>MONTH(Base_ventes[[#This Row],[DATE]])</f>
        <v>5</v>
      </c>
      <c r="D11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112" t="s">
        <v>106</v>
      </c>
      <c r="F112">
        <v>2</v>
      </c>
      <c r="G112" t="s">
        <v>82</v>
      </c>
      <c r="H112" t="s">
        <v>84</v>
      </c>
      <c r="I112">
        <v>57</v>
      </c>
      <c r="J112" t="s">
        <v>107</v>
      </c>
      <c r="K112" t="s">
        <v>86</v>
      </c>
      <c r="L112" t="s">
        <v>14</v>
      </c>
      <c r="M112">
        <v>120</v>
      </c>
      <c r="N112">
        <v>162</v>
      </c>
      <c r="O112">
        <f>Base_ventes[[#This Row],[BD_2.SELLING PRICE]]*Base_ventes[[#This Row],[QUANTITY]]</f>
        <v>324</v>
      </c>
      <c r="P112">
        <f>Base_ventes[[#This Row],[BD_2.BUYING PRIZE]]*Base_ventes[[#This Row],[QUANTITY]]</f>
        <v>240</v>
      </c>
      <c r="Q112">
        <f>Base_ventes[[#This Row],[Montant Vendu]]-Base_ventes[[#This Row],[Montant Acheté]]</f>
        <v>84</v>
      </c>
    </row>
    <row r="113" spans="1:17" x14ac:dyDescent="0.3">
      <c r="A113" s="1">
        <v>44339</v>
      </c>
      <c r="B113">
        <f>YEAR(Base_ventes[[#This Row],[DATE]])</f>
        <v>2021</v>
      </c>
      <c r="C113">
        <f>MONTH(Base_ventes[[#This Row],[DATE]])</f>
        <v>5</v>
      </c>
      <c r="D11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113" t="s">
        <v>102</v>
      </c>
      <c r="F113">
        <v>11</v>
      </c>
      <c r="G113" t="s">
        <v>87</v>
      </c>
      <c r="H113" t="s">
        <v>82</v>
      </c>
      <c r="I113">
        <v>27</v>
      </c>
      <c r="J113" t="s">
        <v>103</v>
      </c>
      <c r="K113" t="s">
        <v>86</v>
      </c>
      <c r="L113" t="s">
        <v>4</v>
      </c>
      <c r="M113">
        <v>90</v>
      </c>
      <c r="N113">
        <v>115.2</v>
      </c>
      <c r="O113">
        <f>Base_ventes[[#This Row],[BD_2.SELLING PRICE]]*Base_ventes[[#This Row],[QUANTITY]]</f>
        <v>1267.2</v>
      </c>
      <c r="P113">
        <f>Base_ventes[[#This Row],[BD_2.BUYING PRIZE]]*Base_ventes[[#This Row],[QUANTITY]]</f>
        <v>990</v>
      </c>
      <c r="Q113">
        <f>Base_ventes[[#This Row],[Montant Vendu]]-Base_ventes[[#This Row],[Montant Acheté]]</f>
        <v>277.20000000000005</v>
      </c>
    </row>
    <row r="114" spans="1:17" x14ac:dyDescent="0.3">
      <c r="A114" s="1">
        <v>44346</v>
      </c>
      <c r="B114">
        <f>YEAR(Base_ventes[[#This Row],[DATE]])</f>
        <v>2021</v>
      </c>
      <c r="C114">
        <f>MONTH(Base_ventes[[#This Row],[DATE]])</f>
        <v>5</v>
      </c>
      <c r="D11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114" t="s">
        <v>52</v>
      </c>
      <c r="F114">
        <v>13</v>
      </c>
      <c r="G114" t="s">
        <v>82</v>
      </c>
      <c r="H114" t="s">
        <v>82</v>
      </c>
      <c r="I114">
        <v>81</v>
      </c>
      <c r="J114" t="s">
        <v>53</v>
      </c>
      <c r="K114" t="s">
        <v>47</v>
      </c>
      <c r="L114" t="s">
        <v>14</v>
      </c>
      <c r="M114">
        <v>141</v>
      </c>
      <c r="N114">
        <v>149.46</v>
      </c>
      <c r="O114">
        <f>Base_ventes[[#This Row],[BD_2.SELLING PRICE]]*Base_ventes[[#This Row],[QUANTITY]]</f>
        <v>1942.98</v>
      </c>
      <c r="P114">
        <f>Base_ventes[[#This Row],[BD_2.BUYING PRIZE]]*Base_ventes[[#This Row],[QUANTITY]]</f>
        <v>1833</v>
      </c>
      <c r="Q114">
        <f>Base_ventes[[#This Row],[Montant Vendu]]-Base_ventes[[#This Row],[Montant Acheté]]</f>
        <v>109.98000000000002</v>
      </c>
    </row>
    <row r="115" spans="1:17" x14ac:dyDescent="0.3">
      <c r="A115" s="1">
        <v>44346</v>
      </c>
      <c r="B115">
        <f>YEAR(Base_ventes[[#This Row],[DATE]])</f>
        <v>2021</v>
      </c>
      <c r="C115">
        <f>MONTH(Base_ventes[[#This Row],[DATE]])</f>
        <v>5</v>
      </c>
      <c r="D11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115" t="s">
        <v>31</v>
      </c>
      <c r="F115">
        <v>6</v>
      </c>
      <c r="G115" t="s">
        <v>82</v>
      </c>
      <c r="H115" t="s">
        <v>84</v>
      </c>
      <c r="I115">
        <v>79</v>
      </c>
      <c r="J115" t="s">
        <v>32</v>
      </c>
      <c r="K115" t="s">
        <v>26</v>
      </c>
      <c r="L115" t="s">
        <v>4</v>
      </c>
      <c r="M115">
        <v>112</v>
      </c>
      <c r="N115">
        <v>122.08</v>
      </c>
      <c r="O115">
        <f>Base_ventes[[#This Row],[BD_2.SELLING PRICE]]*Base_ventes[[#This Row],[QUANTITY]]</f>
        <v>732.48</v>
      </c>
      <c r="P115">
        <f>Base_ventes[[#This Row],[BD_2.BUYING PRIZE]]*Base_ventes[[#This Row],[QUANTITY]]</f>
        <v>672</v>
      </c>
      <c r="Q115">
        <f>Base_ventes[[#This Row],[Montant Vendu]]-Base_ventes[[#This Row],[Montant Acheté]]</f>
        <v>60.480000000000018</v>
      </c>
    </row>
    <row r="116" spans="1:17" x14ac:dyDescent="0.3">
      <c r="A116" s="1">
        <v>44350</v>
      </c>
      <c r="B116">
        <f>YEAR(Base_ventes[[#This Row],[DATE]])</f>
        <v>2021</v>
      </c>
      <c r="C116">
        <f>MONTH(Base_ventes[[#This Row],[DATE]])</f>
        <v>6</v>
      </c>
      <c r="D11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16" t="s">
        <v>48</v>
      </c>
      <c r="F116">
        <v>10</v>
      </c>
      <c r="G116" t="s">
        <v>87</v>
      </c>
      <c r="H116" t="s">
        <v>84</v>
      </c>
      <c r="I116">
        <v>62</v>
      </c>
      <c r="J116" t="s">
        <v>49</v>
      </c>
      <c r="K116" t="s">
        <v>47</v>
      </c>
      <c r="L116" t="s">
        <v>14</v>
      </c>
      <c r="M116">
        <v>126</v>
      </c>
      <c r="N116">
        <v>162.54</v>
      </c>
      <c r="O116">
        <f>Base_ventes[[#This Row],[BD_2.SELLING PRICE]]*Base_ventes[[#This Row],[QUANTITY]]</f>
        <v>1625.3999999999999</v>
      </c>
      <c r="P116">
        <f>Base_ventes[[#This Row],[BD_2.BUYING PRIZE]]*Base_ventes[[#This Row],[QUANTITY]]</f>
        <v>1260</v>
      </c>
      <c r="Q116">
        <f>Base_ventes[[#This Row],[Montant Vendu]]-Base_ventes[[#This Row],[Montant Acheté]]</f>
        <v>365.39999999999986</v>
      </c>
    </row>
    <row r="117" spans="1:17" x14ac:dyDescent="0.3">
      <c r="A117" s="1">
        <v>44351</v>
      </c>
      <c r="B117">
        <f>YEAR(Base_ventes[[#This Row],[DATE]])</f>
        <v>2021</v>
      </c>
      <c r="C117">
        <f>MONTH(Base_ventes[[#This Row],[DATE]])</f>
        <v>6</v>
      </c>
      <c r="D11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17" t="s">
        <v>45</v>
      </c>
      <c r="F117">
        <v>8</v>
      </c>
      <c r="G117" t="s">
        <v>81</v>
      </c>
      <c r="H117" t="s">
        <v>82</v>
      </c>
      <c r="I117">
        <v>88</v>
      </c>
      <c r="J117" t="s">
        <v>46</v>
      </c>
      <c r="K117" t="s">
        <v>47</v>
      </c>
      <c r="L117" t="s">
        <v>11</v>
      </c>
      <c r="M117">
        <v>61</v>
      </c>
      <c r="N117">
        <v>76.25</v>
      </c>
      <c r="O117">
        <f>Base_ventes[[#This Row],[BD_2.SELLING PRICE]]*Base_ventes[[#This Row],[QUANTITY]]</f>
        <v>610</v>
      </c>
      <c r="P117">
        <f>Base_ventes[[#This Row],[BD_2.BUYING PRIZE]]*Base_ventes[[#This Row],[QUANTITY]]</f>
        <v>488</v>
      </c>
      <c r="Q117">
        <f>Base_ventes[[#This Row],[Montant Vendu]]-Base_ventes[[#This Row],[Montant Acheté]]</f>
        <v>122</v>
      </c>
    </row>
    <row r="118" spans="1:17" x14ac:dyDescent="0.3">
      <c r="A118" s="1">
        <v>44351</v>
      </c>
      <c r="B118">
        <f>YEAR(Base_ventes[[#This Row],[DATE]])</f>
        <v>2021</v>
      </c>
      <c r="C118">
        <f>MONTH(Base_ventes[[#This Row],[DATE]])</f>
        <v>6</v>
      </c>
      <c r="D11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18" t="s">
        <v>45</v>
      </c>
      <c r="F118">
        <v>12</v>
      </c>
      <c r="G118" t="s">
        <v>82</v>
      </c>
      <c r="H118" t="s">
        <v>84</v>
      </c>
      <c r="I118">
        <v>30</v>
      </c>
      <c r="J118" t="s">
        <v>46</v>
      </c>
      <c r="K118" t="s">
        <v>47</v>
      </c>
      <c r="L118" t="s">
        <v>11</v>
      </c>
      <c r="M118">
        <v>61</v>
      </c>
      <c r="N118">
        <v>76.25</v>
      </c>
      <c r="O118">
        <f>Base_ventes[[#This Row],[BD_2.SELLING PRICE]]*Base_ventes[[#This Row],[QUANTITY]]</f>
        <v>915</v>
      </c>
      <c r="P118">
        <f>Base_ventes[[#This Row],[BD_2.BUYING PRIZE]]*Base_ventes[[#This Row],[QUANTITY]]</f>
        <v>732</v>
      </c>
      <c r="Q118">
        <f>Base_ventes[[#This Row],[Montant Vendu]]-Base_ventes[[#This Row],[Montant Acheté]]</f>
        <v>183</v>
      </c>
    </row>
    <row r="119" spans="1:17" x14ac:dyDescent="0.3">
      <c r="A119" s="1">
        <v>44352</v>
      </c>
      <c r="B119">
        <f>YEAR(Base_ventes[[#This Row],[DATE]])</f>
        <v>2021</v>
      </c>
      <c r="C119">
        <f>MONTH(Base_ventes[[#This Row],[DATE]])</f>
        <v>6</v>
      </c>
      <c r="D11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19" t="s">
        <v>50</v>
      </c>
      <c r="F119">
        <v>15</v>
      </c>
      <c r="G119" t="s">
        <v>81</v>
      </c>
      <c r="H119" t="s">
        <v>82</v>
      </c>
      <c r="I119">
        <v>23</v>
      </c>
      <c r="J119" t="s">
        <v>51</v>
      </c>
      <c r="K119" t="s">
        <v>47</v>
      </c>
      <c r="L119" t="s">
        <v>14</v>
      </c>
      <c r="M119">
        <v>121</v>
      </c>
      <c r="N119">
        <v>141.57</v>
      </c>
      <c r="O119">
        <f>Base_ventes[[#This Row],[BD_2.SELLING PRICE]]*Base_ventes[[#This Row],[QUANTITY]]</f>
        <v>2123.5499999999997</v>
      </c>
      <c r="P119">
        <f>Base_ventes[[#This Row],[BD_2.BUYING PRIZE]]*Base_ventes[[#This Row],[QUANTITY]]</f>
        <v>1815</v>
      </c>
      <c r="Q119">
        <f>Base_ventes[[#This Row],[Montant Vendu]]-Base_ventes[[#This Row],[Montant Acheté]]</f>
        <v>308.54999999999973</v>
      </c>
    </row>
    <row r="120" spans="1:17" x14ac:dyDescent="0.3">
      <c r="A120" s="1">
        <v>44352</v>
      </c>
      <c r="B120">
        <f>YEAR(Base_ventes[[#This Row],[DATE]])</f>
        <v>2021</v>
      </c>
      <c r="C120">
        <f>MONTH(Base_ventes[[#This Row],[DATE]])</f>
        <v>6</v>
      </c>
      <c r="D12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20" t="s">
        <v>88</v>
      </c>
      <c r="F120">
        <v>10</v>
      </c>
      <c r="G120" t="s">
        <v>87</v>
      </c>
      <c r="H120" t="s">
        <v>82</v>
      </c>
      <c r="I120">
        <v>76</v>
      </c>
      <c r="J120" t="s">
        <v>89</v>
      </c>
      <c r="K120" t="s">
        <v>60</v>
      </c>
      <c r="L120" t="s">
        <v>23</v>
      </c>
      <c r="M120">
        <v>5</v>
      </c>
      <c r="N120">
        <v>6.7</v>
      </c>
      <c r="O120">
        <f>Base_ventes[[#This Row],[BD_2.SELLING PRICE]]*Base_ventes[[#This Row],[QUANTITY]]</f>
        <v>67</v>
      </c>
      <c r="P120">
        <f>Base_ventes[[#This Row],[BD_2.BUYING PRIZE]]*Base_ventes[[#This Row],[QUANTITY]]</f>
        <v>50</v>
      </c>
      <c r="Q120">
        <f>Base_ventes[[#This Row],[Montant Vendu]]-Base_ventes[[#This Row],[Montant Acheté]]</f>
        <v>17</v>
      </c>
    </row>
    <row r="121" spans="1:17" x14ac:dyDescent="0.3">
      <c r="A121" s="1">
        <v>44353</v>
      </c>
      <c r="B121">
        <f>YEAR(Base_ventes[[#This Row],[DATE]])</f>
        <v>2021</v>
      </c>
      <c r="C121">
        <f>MONTH(Base_ventes[[#This Row],[DATE]])</f>
        <v>6</v>
      </c>
      <c r="D12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21" t="s">
        <v>92</v>
      </c>
      <c r="F121">
        <v>6</v>
      </c>
      <c r="G121" t="s">
        <v>87</v>
      </c>
      <c r="H121" t="s">
        <v>82</v>
      </c>
      <c r="I121">
        <v>79</v>
      </c>
      <c r="J121" t="s">
        <v>93</v>
      </c>
      <c r="K121" t="s">
        <v>60</v>
      </c>
      <c r="L121" t="s">
        <v>4</v>
      </c>
      <c r="M121">
        <v>95</v>
      </c>
      <c r="N121">
        <v>119.7</v>
      </c>
      <c r="O121">
        <f>Base_ventes[[#This Row],[BD_2.SELLING PRICE]]*Base_ventes[[#This Row],[QUANTITY]]</f>
        <v>718.2</v>
      </c>
      <c r="P121">
        <f>Base_ventes[[#This Row],[BD_2.BUYING PRIZE]]*Base_ventes[[#This Row],[QUANTITY]]</f>
        <v>570</v>
      </c>
      <c r="Q121">
        <f>Base_ventes[[#This Row],[Montant Vendu]]-Base_ventes[[#This Row],[Montant Acheté]]</f>
        <v>148.20000000000005</v>
      </c>
    </row>
    <row r="122" spans="1:17" x14ac:dyDescent="0.3">
      <c r="A122" s="1">
        <v>44355</v>
      </c>
      <c r="B122">
        <f>YEAR(Base_ventes[[#This Row],[DATE]])</f>
        <v>2021</v>
      </c>
      <c r="C122">
        <f>MONTH(Base_ventes[[#This Row],[DATE]])</f>
        <v>6</v>
      </c>
      <c r="D12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22" t="s">
        <v>63</v>
      </c>
      <c r="F122">
        <v>11</v>
      </c>
      <c r="G122" t="s">
        <v>87</v>
      </c>
      <c r="H122" t="s">
        <v>82</v>
      </c>
      <c r="I122">
        <v>80</v>
      </c>
      <c r="J122" t="s">
        <v>64</v>
      </c>
      <c r="K122" t="s">
        <v>60</v>
      </c>
      <c r="L122" t="s">
        <v>23</v>
      </c>
      <c r="M122">
        <v>37</v>
      </c>
      <c r="N122">
        <v>41.81</v>
      </c>
      <c r="O122">
        <f>Base_ventes[[#This Row],[BD_2.SELLING PRICE]]*Base_ventes[[#This Row],[QUANTITY]]</f>
        <v>459.91</v>
      </c>
      <c r="P122">
        <f>Base_ventes[[#This Row],[BD_2.BUYING PRIZE]]*Base_ventes[[#This Row],[QUANTITY]]</f>
        <v>407</v>
      </c>
      <c r="Q122">
        <f>Base_ventes[[#This Row],[Montant Vendu]]-Base_ventes[[#This Row],[Montant Acheté]]</f>
        <v>52.910000000000025</v>
      </c>
    </row>
    <row r="123" spans="1:17" x14ac:dyDescent="0.3">
      <c r="A123" s="1">
        <v>44355</v>
      </c>
      <c r="B123">
        <f>YEAR(Base_ventes[[#This Row],[DATE]])</f>
        <v>2021</v>
      </c>
      <c r="C123">
        <f>MONTH(Base_ventes[[#This Row],[DATE]])</f>
        <v>6</v>
      </c>
      <c r="D12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23" t="s">
        <v>9</v>
      </c>
      <c r="F123">
        <v>11</v>
      </c>
      <c r="G123" t="s">
        <v>81</v>
      </c>
      <c r="H123" t="s">
        <v>84</v>
      </c>
      <c r="I123">
        <v>38</v>
      </c>
      <c r="J123" t="s">
        <v>10</v>
      </c>
      <c r="K123" t="s">
        <v>3</v>
      </c>
      <c r="L123" t="s">
        <v>11</v>
      </c>
      <c r="M123">
        <v>44</v>
      </c>
      <c r="N123">
        <v>48.84</v>
      </c>
      <c r="O123">
        <f>Base_ventes[[#This Row],[BD_2.SELLING PRICE]]*Base_ventes[[#This Row],[QUANTITY]]</f>
        <v>537.24</v>
      </c>
      <c r="P123">
        <f>Base_ventes[[#This Row],[BD_2.BUYING PRIZE]]*Base_ventes[[#This Row],[QUANTITY]]</f>
        <v>484</v>
      </c>
      <c r="Q123">
        <f>Base_ventes[[#This Row],[Montant Vendu]]-Base_ventes[[#This Row],[Montant Acheté]]</f>
        <v>53.240000000000009</v>
      </c>
    </row>
    <row r="124" spans="1:17" x14ac:dyDescent="0.3">
      <c r="A124" s="1">
        <v>44356</v>
      </c>
      <c r="B124">
        <f>YEAR(Base_ventes[[#This Row],[DATE]])</f>
        <v>2021</v>
      </c>
      <c r="C124">
        <f>MONTH(Base_ventes[[#This Row],[DATE]])</f>
        <v>6</v>
      </c>
      <c r="D12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24" t="s">
        <v>1</v>
      </c>
      <c r="F124">
        <v>7</v>
      </c>
      <c r="G124" t="s">
        <v>87</v>
      </c>
      <c r="H124" t="s">
        <v>82</v>
      </c>
      <c r="I124">
        <v>27</v>
      </c>
      <c r="J124" t="s">
        <v>2</v>
      </c>
      <c r="K124" t="s">
        <v>3</v>
      </c>
      <c r="L124" t="s">
        <v>4</v>
      </c>
      <c r="M124">
        <v>98</v>
      </c>
      <c r="N124">
        <v>103.88</v>
      </c>
      <c r="O124">
        <f>Base_ventes[[#This Row],[BD_2.SELLING PRICE]]*Base_ventes[[#This Row],[QUANTITY]]</f>
        <v>727.16</v>
      </c>
      <c r="P124">
        <f>Base_ventes[[#This Row],[BD_2.BUYING PRIZE]]*Base_ventes[[#This Row],[QUANTITY]]</f>
        <v>686</v>
      </c>
      <c r="Q124">
        <f>Base_ventes[[#This Row],[Montant Vendu]]-Base_ventes[[#This Row],[Montant Acheté]]</f>
        <v>41.159999999999968</v>
      </c>
    </row>
    <row r="125" spans="1:17" x14ac:dyDescent="0.3">
      <c r="A125" s="1">
        <v>44358</v>
      </c>
      <c r="B125">
        <f>YEAR(Base_ventes[[#This Row],[DATE]])</f>
        <v>2021</v>
      </c>
      <c r="C125">
        <f>MONTH(Base_ventes[[#This Row],[DATE]])</f>
        <v>6</v>
      </c>
      <c r="D12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25" t="s">
        <v>90</v>
      </c>
      <c r="F125">
        <v>12</v>
      </c>
      <c r="G125" t="s">
        <v>81</v>
      </c>
      <c r="H125" t="s">
        <v>84</v>
      </c>
      <c r="I125">
        <v>22</v>
      </c>
      <c r="J125" t="s">
        <v>91</v>
      </c>
      <c r="K125" t="s">
        <v>60</v>
      </c>
      <c r="L125" t="s">
        <v>4</v>
      </c>
      <c r="M125">
        <v>89</v>
      </c>
      <c r="N125">
        <v>117.48</v>
      </c>
      <c r="O125">
        <f>Base_ventes[[#This Row],[BD_2.SELLING PRICE]]*Base_ventes[[#This Row],[QUANTITY]]</f>
        <v>1409.76</v>
      </c>
      <c r="P125">
        <f>Base_ventes[[#This Row],[BD_2.BUYING PRIZE]]*Base_ventes[[#This Row],[QUANTITY]]</f>
        <v>1068</v>
      </c>
      <c r="Q125">
        <f>Base_ventes[[#This Row],[Montant Vendu]]-Base_ventes[[#This Row],[Montant Acheté]]</f>
        <v>341.76</v>
      </c>
    </row>
    <row r="126" spans="1:17" x14ac:dyDescent="0.3">
      <c r="A126" s="1">
        <v>44359</v>
      </c>
      <c r="B126">
        <f>YEAR(Base_ventes[[#This Row],[DATE]])</f>
        <v>2021</v>
      </c>
      <c r="C126">
        <f>MONTH(Base_ventes[[#This Row],[DATE]])</f>
        <v>6</v>
      </c>
      <c r="D12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26" t="s">
        <v>104</v>
      </c>
      <c r="F126">
        <v>6</v>
      </c>
      <c r="G126" t="s">
        <v>87</v>
      </c>
      <c r="H126" t="s">
        <v>82</v>
      </c>
      <c r="I126">
        <v>85</v>
      </c>
      <c r="J126" t="s">
        <v>105</v>
      </c>
      <c r="K126" t="s">
        <v>86</v>
      </c>
      <c r="L126" t="s">
        <v>14</v>
      </c>
      <c r="M126">
        <v>138</v>
      </c>
      <c r="N126">
        <v>173.88</v>
      </c>
      <c r="O126">
        <f>Base_ventes[[#This Row],[BD_2.SELLING PRICE]]*Base_ventes[[#This Row],[QUANTITY]]</f>
        <v>1043.28</v>
      </c>
      <c r="P126">
        <f>Base_ventes[[#This Row],[BD_2.BUYING PRIZE]]*Base_ventes[[#This Row],[QUANTITY]]</f>
        <v>828</v>
      </c>
      <c r="Q126">
        <f>Base_ventes[[#This Row],[Montant Vendu]]-Base_ventes[[#This Row],[Montant Acheté]]</f>
        <v>215.27999999999997</v>
      </c>
    </row>
    <row r="127" spans="1:17" x14ac:dyDescent="0.3">
      <c r="A127" s="1">
        <v>44361</v>
      </c>
      <c r="B127">
        <f>YEAR(Base_ventes[[#This Row],[DATE]])</f>
        <v>2021</v>
      </c>
      <c r="C127">
        <f>MONTH(Base_ventes[[#This Row],[DATE]])</f>
        <v>6</v>
      </c>
      <c r="D12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27" t="s">
        <v>56</v>
      </c>
      <c r="F127">
        <v>10</v>
      </c>
      <c r="G127" t="s">
        <v>82</v>
      </c>
      <c r="H127" t="s">
        <v>84</v>
      </c>
      <c r="I127">
        <v>24</v>
      </c>
      <c r="J127" t="s">
        <v>57</v>
      </c>
      <c r="K127" t="s">
        <v>47</v>
      </c>
      <c r="L127" t="s">
        <v>23</v>
      </c>
      <c r="M127">
        <v>7</v>
      </c>
      <c r="N127">
        <v>8.33</v>
      </c>
      <c r="O127">
        <f>Base_ventes[[#This Row],[BD_2.SELLING PRICE]]*Base_ventes[[#This Row],[QUANTITY]]</f>
        <v>83.3</v>
      </c>
      <c r="P127">
        <f>Base_ventes[[#This Row],[BD_2.BUYING PRIZE]]*Base_ventes[[#This Row],[QUANTITY]]</f>
        <v>70</v>
      </c>
      <c r="Q127">
        <f>Base_ventes[[#This Row],[Montant Vendu]]-Base_ventes[[#This Row],[Montant Acheté]]</f>
        <v>13.299999999999997</v>
      </c>
    </row>
    <row r="128" spans="1:17" x14ac:dyDescent="0.3">
      <c r="A128" s="1">
        <v>44363</v>
      </c>
      <c r="B128">
        <f>YEAR(Base_ventes[[#This Row],[DATE]])</f>
        <v>2021</v>
      </c>
      <c r="C128">
        <f>MONTH(Base_ventes[[#This Row],[DATE]])</f>
        <v>6</v>
      </c>
      <c r="D12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28" t="s">
        <v>43</v>
      </c>
      <c r="F128">
        <v>5</v>
      </c>
      <c r="G128" t="s">
        <v>81</v>
      </c>
      <c r="H128" t="s">
        <v>84</v>
      </c>
      <c r="I128">
        <v>22</v>
      </c>
      <c r="J128" t="s">
        <v>44</v>
      </c>
      <c r="K128" t="s">
        <v>26</v>
      </c>
      <c r="L128" t="s">
        <v>14</v>
      </c>
      <c r="M128">
        <v>150</v>
      </c>
      <c r="N128">
        <v>210</v>
      </c>
      <c r="O128">
        <f>Base_ventes[[#This Row],[BD_2.SELLING PRICE]]*Base_ventes[[#This Row],[QUANTITY]]</f>
        <v>1050</v>
      </c>
      <c r="P128">
        <f>Base_ventes[[#This Row],[BD_2.BUYING PRIZE]]*Base_ventes[[#This Row],[QUANTITY]]</f>
        <v>750</v>
      </c>
      <c r="Q128">
        <f>Base_ventes[[#This Row],[Montant Vendu]]-Base_ventes[[#This Row],[Montant Acheté]]</f>
        <v>300</v>
      </c>
    </row>
    <row r="129" spans="1:17" x14ac:dyDescent="0.3">
      <c r="A129" s="1">
        <v>44363</v>
      </c>
      <c r="B129">
        <f>YEAR(Base_ventes[[#This Row],[DATE]])</f>
        <v>2021</v>
      </c>
      <c r="C129">
        <f>MONTH(Base_ventes[[#This Row],[DATE]])</f>
        <v>6</v>
      </c>
      <c r="D12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29" t="s">
        <v>35</v>
      </c>
      <c r="F129">
        <v>12</v>
      </c>
      <c r="G129" t="s">
        <v>82</v>
      </c>
      <c r="H129" t="s">
        <v>84</v>
      </c>
      <c r="I129">
        <v>57</v>
      </c>
      <c r="J129" t="s">
        <v>36</v>
      </c>
      <c r="K129" t="s">
        <v>26</v>
      </c>
      <c r="L129" t="s">
        <v>23</v>
      </c>
      <c r="M129">
        <v>12</v>
      </c>
      <c r="N129">
        <v>15.719999999999999</v>
      </c>
      <c r="O129">
        <f>Base_ventes[[#This Row],[BD_2.SELLING PRICE]]*Base_ventes[[#This Row],[QUANTITY]]</f>
        <v>188.64</v>
      </c>
      <c r="P129">
        <f>Base_ventes[[#This Row],[BD_2.BUYING PRIZE]]*Base_ventes[[#This Row],[QUANTITY]]</f>
        <v>144</v>
      </c>
      <c r="Q129">
        <f>Base_ventes[[#This Row],[Montant Vendu]]-Base_ventes[[#This Row],[Montant Acheté]]</f>
        <v>44.639999999999986</v>
      </c>
    </row>
    <row r="130" spans="1:17" x14ac:dyDescent="0.3">
      <c r="A130" s="1">
        <v>44363</v>
      </c>
      <c r="B130">
        <f>YEAR(Base_ventes[[#This Row],[DATE]])</f>
        <v>2021</v>
      </c>
      <c r="C130">
        <f>MONTH(Base_ventes[[#This Row],[DATE]])</f>
        <v>6</v>
      </c>
      <c r="D13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30" t="s">
        <v>100</v>
      </c>
      <c r="F130">
        <v>11</v>
      </c>
      <c r="G130" t="s">
        <v>87</v>
      </c>
      <c r="H130" t="s">
        <v>84</v>
      </c>
      <c r="I130">
        <v>83</v>
      </c>
      <c r="J130" t="s">
        <v>101</v>
      </c>
      <c r="K130" t="s">
        <v>86</v>
      </c>
      <c r="L130" t="s">
        <v>23</v>
      </c>
      <c r="M130">
        <v>37</v>
      </c>
      <c r="N130">
        <v>42.55</v>
      </c>
      <c r="O130">
        <f>Base_ventes[[#This Row],[BD_2.SELLING PRICE]]*Base_ventes[[#This Row],[QUANTITY]]</f>
        <v>468.04999999999995</v>
      </c>
      <c r="P130">
        <f>Base_ventes[[#This Row],[BD_2.BUYING PRIZE]]*Base_ventes[[#This Row],[QUANTITY]]</f>
        <v>407</v>
      </c>
      <c r="Q130">
        <f>Base_ventes[[#This Row],[Montant Vendu]]-Base_ventes[[#This Row],[Montant Acheté]]</f>
        <v>61.049999999999955</v>
      </c>
    </row>
    <row r="131" spans="1:17" x14ac:dyDescent="0.3">
      <c r="A131" s="1">
        <v>44365</v>
      </c>
      <c r="B131">
        <f>YEAR(Base_ventes[[#This Row],[DATE]])</f>
        <v>2021</v>
      </c>
      <c r="C131">
        <f>MONTH(Base_ventes[[#This Row],[DATE]])</f>
        <v>6</v>
      </c>
      <c r="D13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31" t="s">
        <v>56</v>
      </c>
      <c r="F131">
        <v>13</v>
      </c>
      <c r="G131" t="s">
        <v>87</v>
      </c>
      <c r="H131" t="s">
        <v>84</v>
      </c>
      <c r="I131">
        <v>58</v>
      </c>
      <c r="J131" t="s">
        <v>57</v>
      </c>
      <c r="K131" t="s">
        <v>47</v>
      </c>
      <c r="L131" t="s">
        <v>23</v>
      </c>
      <c r="M131">
        <v>7</v>
      </c>
      <c r="N131">
        <v>8.33</v>
      </c>
      <c r="O131">
        <f>Base_ventes[[#This Row],[BD_2.SELLING PRICE]]*Base_ventes[[#This Row],[QUANTITY]]</f>
        <v>108.29</v>
      </c>
      <c r="P131">
        <f>Base_ventes[[#This Row],[BD_2.BUYING PRIZE]]*Base_ventes[[#This Row],[QUANTITY]]</f>
        <v>91</v>
      </c>
      <c r="Q131">
        <f>Base_ventes[[#This Row],[Montant Vendu]]-Base_ventes[[#This Row],[Montant Acheté]]</f>
        <v>17.290000000000006</v>
      </c>
    </row>
    <row r="132" spans="1:17" x14ac:dyDescent="0.3">
      <c r="A132" s="1">
        <v>44366</v>
      </c>
      <c r="B132">
        <f>YEAR(Base_ventes[[#This Row],[DATE]])</f>
        <v>2021</v>
      </c>
      <c r="C132">
        <f>MONTH(Base_ventes[[#This Row],[DATE]])</f>
        <v>6</v>
      </c>
      <c r="D13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32" t="s">
        <v>104</v>
      </c>
      <c r="F132">
        <v>5</v>
      </c>
      <c r="G132" t="s">
        <v>87</v>
      </c>
      <c r="H132" t="s">
        <v>82</v>
      </c>
      <c r="I132">
        <v>14</v>
      </c>
      <c r="J132" t="s">
        <v>105</v>
      </c>
      <c r="K132" t="s">
        <v>86</v>
      </c>
      <c r="L132" t="s">
        <v>14</v>
      </c>
      <c r="M132">
        <v>138</v>
      </c>
      <c r="N132">
        <v>173.88</v>
      </c>
      <c r="O132">
        <f>Base_ventes[[#This Row],[BD_2.SELLING PRICE]]*Base_ventes[[#This Row],[QUANTITY]]</f>
        <v>869.4</v>
      </c>
      <c r="P132">
        <f>Base_ventes[[#This Row],[BD_2.BUYING PRIZE]]*Base_ventes[[#This Row],[QUANTITY]]</f>
        <v>690</v>
      </c>
      <c r="Q132">
        <f>Base_ventes[[#This Row],[Montant Vendu]]-Base_ventes[[#This Row],[Montant Acheté]]</f>
        <v>179.39999999999998</v>
      </c>
    </row>
    <row r="133" spans="1:17" x14ac:dyDescent="0.3">
      <c r="A133" s="1">
        <v>44367</v>
      </c>
      <c r="B133">
        <f>YEAR(Base_ventes[[#This Row],[DATE]])</f>
        <v>2021</v>
      </c>
      <c r="C133">
        <f>MONTH(Base_ventes[[#This Row],[DATE]])</f>
        <v>6</v>
      </c>
      <c r="D13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33" t="s">
        <v>37</v>
      </c>
      <c r="F133">
        <v>1</v>
      </c>
      <c r="G133" t="s">
        <v>81</v>
      </c>
      <c r="H133" t="s">
        <v>84</v>
      </c>
      <c r="I133">
        <v>37</v>
      </c>
      <c r="J133" t="s">
        <v>38</v>
      </c>
      <c r="K133" t="s">
        <v>26</v>
      </c>
      <c r="L133" t="s">
        <v>23</v>
      </c>
      <c r="M133">
        <v>13</v>
      </c>
      <c r="N133">
        <v>16.64</v>
      </c>
      <c r="O133">
        <f>Base_ventes[[#This Row],[BD_2.SELLING PRICE]]*Base_ventes[[#This Row],[QUANTITY]]</f>
        <v>16.64</v>
      </c>
      <c r="P133">
        <f>Base_ventes[[#This Row],[BD_2.BUYING PRIZE]]*Base_ventes[[#This Row],[QUANTITY]]</f>
        <v>13</v>
      </c>
      <c r="Q133">
        <f>Base_ventes[[#This Row],[Montant Vendu]]-Base_ventes[[#This Row],[Montant Acheté]]</f>
        <v>3.6400000000000006</v>
      </c>
    </row>
    <row r="134" spans="1:17" x14ac:dyDescent="0.3">
      <c r="A134" s="1">
        <v>44370</v>
      </c>
      <c r="B134">
        <f>YEAR(Base_ventes[[#This Row],[DATE]])</f>
        <v>2021</v>
      </c>
      <c r="C134">
        <f>MONTH(Base_ventes[[#This Row],[DATE]])</f>
        <v>6</v>
      </c>
      <c r="D13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34" t="s">
        <v>37</v>
      </c>
      <c r="F134">
        <v>4</v>
      </c>
      <c r="G134" t="s">
        <v>87</v>
      </c>
      <c r="H134" t="s">
        <v>82</v>
      </c>
      <c r="I134">
        <v>3</v>
      </c>
      <c r="J134" t="s">
        <v>38</v>
      </c>
      <c r="K134" t="s">
        <v>26</v>
      </c>
      <c r="L134" t="s">
        <v>23</v>
      </c>
      <c r="M134">
        <v>13</v>
      </c>
      <c r="N134">
        <v>16.64</v>
      </c>
      <c r="O134">
        <f>Base_ventes[[#This Row],[BD_2.SELLING PRICE]]*Base_ventes[[#This Row],[QUANTITY]]</f>
        <v>66.56</v>
      </c>
      <c r="P134">
        <f>Base_ventes[[#This Row],[BD_2.BUYING PRIZE]]*Base_ventes[[#This Row],[QUANTITY]]</f>
        <v>52</v>
      </c>
      <c r="Q134">
        <f>Base_ventes[[#This Row],[Montant Vendu]]-Base_ventes[[#This Row],[Montant Acheté]]</f>
        <v>14.560000000000002</v>
      </c>
    </row>
    <row r="135" spans="1:17" x14ac:dyDescent="0.3">
      <c r="A135" s="1">
        <v>44371</v>
      </c>
      <c r="B135">
        <f>YEAR(Base_ventes[[#This Row],[DATE]])</f>
        <v>2021</v>
      </c>
      <c r="C135">
        <f>MONTH(Base_ventes[[#This Row],[DATE]])</f>
        <v>6</v>
      </c>
      <c r="D13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35" t="s">
        <v>27</v>
      </c>
      <c r="F135">
        <v>13</v>
      </c>
      <c r="G135" t="s">
        <v>87</v>
      </c>
      <c r="H135" t="s">
        <v>82</v>
      </c>
      <c r="I135">
        <v>71</v>
      </c>
      <c r="J135" t="s">
        <v>28</v>
      </c>
      <c r="K135" t="s">
        <v>26</v>
      </c>
      <c r="L135" t="s">
        <v>11</v>
      </c>
      <c r="M135">
        <v>44</v>
      </c>
      <c r="N135">
        <v>48.4</v>
      </c>
      <c r="O135">
        <f>Base_ventes[[#This Row],[BD_2.SELLING PRICE]]*Base_ventes[[#This Row],[QUANTITY]]</f>
        <v>629.19999999999993</v>
      </c>
      <c r="P135">
        <f>Base_ventes[[#This Row],[BD_2.BUYING PRIZE]]*Base_ventes[[#This Row],[QUANTITY]]</f>
        <v>572</v>
      </c>
      <c r="Q135">
        <f>Base_ventes[[#This Row],[Montant Vendu]]-Base_ventes[[#This Row],[Montant Acheté]]</f>
        <v>57.199999999999932</v>
      </c>
    </row>
    <row r="136" spans="1:17" x14ac:dyDescent="0.3">
      <c r="A136" s="1">
        <v>44373</v>
      </c>
      <c r="B136">
        <f>YEAR(Base_ventes[[#This Row],[DATE]])</f>
        <v>2021</v>
      </c>
      <c r="C136">
        <f>MONTH(Base_ventes[[#This Row],[DATE]])</f>
        <v>6</v>
      </c>
      <c r="D13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36" t="s">
        <v>21</v>
      </c>
      <c r="F136">
        <v>7</v>
      </c>
      <c r="G136" t="s">
        <v>82</v>
      </c>
      <c r="H136" t="s">
        <v>82</v>
      </c>
      <c r="I136">
        <v>19</v>
      </c>
      <c r="J136" t="s">
        <v>22</v>
      </c>
      <c r="K136" t="s">
        <v>3</v>
      </c>
      <c r="L136" t="s">
        <v>23</v>
      </c>
      <c r="M136">
        <v>6</v>
      </c>
      <c r="N136">
        <v>7.8599999999999994</v>
      </c>
      <c r="O136">
        <f>Base_ventes[[#This Row],[BD_2.SELLING PRICE]]*Base_ventes[[#This Row],[QUANTITY]]</f>
        <v>55.019999999999996</v>
      </c>
      <c r="P136">
        <f>Base_ventes[[#This Row],[BD_2.BUYING PRIZE]]*Base_ventes[[#This Row],[QUANTITY]]</f>
        <v>42</v>
      </c>
      <c r="Q136">
        <f>Base_ventes[[#This Row],[Montant Vendu]]-Base_ventes[[#This Row],[Montant Acheté]]</f>
        <v>13.019999999999996</v>
      </c>
    </row>
    <row r="137" spans="1:17" x14ac:dyDescent="0.3">
      <c r="A137" s="1">
        <v>44374</v>
      </c>
      <c r="B137">
        <f>YEAR(Base_ventes[[#This Row],[DATE]])</f>
        <v>2021</v>
      </c>
      <c r="C137">
        <f>MONTH(Base_ventes[[#This Row],[DATE]])</f>
        <v>6</v>
      </c>
      <c r="D13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37" t="s">
        <v>12</v>
      </c>
      <c r="F137">
        <v>11</v>
      </c>
      <c r="G137" t="s">
        <v>87</v>
      </c>
      <c r="H137" t="s">
        <v>84</v>
      </c>
      <c r="I137">
        <v>71</v>
      </c>
      <c r="J137" t="s">
        <v>13</v>
      </c>
      <c r="K137" t="s">
        <v>3</v>
      </c>
      <c r="L137" t="s">
        <v>14</v>
      </c>
      <c r="M137">
        <v>133</v>
      </c>
      <c r="N137">
        <v>155.61000000000001</v>
      </c>
      <c r="O137">
        <f>Base_ventes[[#This Row],[BD_2.SELLING PRICE]]*Base_ventes[[#This Row],[QUANTITY]]</f>
        <v>1711.71</v>
      </c>
      <c r="P137">
        <f>Base_ventes[[#This Row],[BD_2.BUYING PRIZE]]*Base_ventes[[#This Row],[QUANTITY]]</f>
        <v>1463</v>
      </c>
      <c r="Q137">
        <f>Base_ventes[[#This Row],[Montant Vendu]]-Base_ventes[[#This Row],[Montant Acheté]]</f>
        <v>248.71000000000004</v>
      </c>
    </row>
    <row r="138" spans="1:17" x14ac:dyDescent="0.3">
      <c r="A138" s="1">
        <v>44375</v>
      </c>
      <c r="B138">
        <f>YEAR(Base_ventes[[#This Row],[DATE]])</f>
        <v>2021</v>
      </c>
      <c r="C138">
        <f>MONTH(Base_ventes[[#This Row],[DATE]])</f>
        <v>6</v>
      </c>
      <c r="D13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38" t="s">
        <v>48</v>
      </c>
      <c r="F138">
        <v>2</v>
      </c>
      <c r="G138" t="s">
        <v>82</v>
      </c>
      <c r="H138" t="s">
        <v>84</v>
      </c>
      <c r="I138">
        <v>23</v>
      </c>
      <c r="J138" t="s">
        <v>49</v>
      </c>
      <c r="K138" t="s">
        <v>47</v>
      </c>
      <c r="L138" t="s">
        <v>14</v>
      </c>
      <c r="M138">
        <v>126</v>
      </c>
      <c r="N138">
        <v>162.54</v>
      </c>
      <c r="O138">
        <f>Base_ventes[[#This Row],[BD_2.SELLING PRICE]]*Base_ventes[[#This Row],[QUANTITY]]</f>
        <v>325.08</v>
      </c>
      <c r="P138">
        <f>Base_ventes[[#This Row],[BD_2.BUYING PRIZE]]*Base_ventes[[#This Row],[QUANTITY]]</f>
        <v>252</v>
      </c>
      <c r="Q138">
        <f>Base_ventes[[#This Row],[Montant Vendu]]-Base_ventes[[#This Row],[Montant Acheté]]</f>
        <v>73.079999999999984</v>
      </c>
    </row>
    <row r="139" spans="1:17" x14ac:dyDescent="0.3">
      <c r="A139" s="1">
        <v>44375</v>
      </c>
      <c r="B139">
        <f>YEAR(Base_ventes[[#This Row],[DATE]])</f>
        <v>2021</v>
      </c>
      <c r="C139">
        <f>MONTH(Base_ventes[[#This Row],[DATE]])</f>
        <v>6</v>
      </c>
      <c r="D13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39" t="s">
        <v>88</v>
      </c>
      <c r="F139">
        <v>7</v>
      </c>
      <c r="G139" t="s">
        <v>82</v>
      </c>
      <c r="H139" t="s">
        <v>82</v>
      </c>
      <c r="I139">
        <v>33</v>
      </c>
      <c r="J139" t="s">
        <v>89</v>
      </c>
      <c r="K139" t="s">
        <v>60</v>
      </c>
      <c r="L139" t="s">
        <v>23</v>
      </c>
      <c r="M139">
        <v>5</v>
      </c>
      <c r="N139">
        <v>6.7</v>
      </c>
      <c r="O139">
        <f>Base_ventes[[#This Row],[BD_2.SELLING PRICE]]*Base_ventes[[#This Row],[QUANTITY]]</f>
        <v>46.9</v>
      </c>
      <c r="P139">
        <f>Base_ventes[[#This Row],[BD_2.BUYING PRIZE]]*Base_ventes[[#This Row],[QUANTITY]]</f>
        <v>35</v>
      </c>
      <c r="Q139">
        <f>Base_ventes[[#This Row],[Montant Vendu]]-Base_ventes[[#This Row],[Montant Acheté]]</f>
        <v>11.899999999999999</v>
      </c>
    </row>
    <row r="140" spans="1:17" x14ac:dyDescent="0.3">
      <c r="A140" s="1">
        <v>44376</v>
      </c>
      <c r="B140">
        <f>YEAR(Base_ventes[[#This Row],[DATE]])</f>
        <v>2021</v>
      </c>
      <c r="C140">
        <f>MONTH(Base_ventes[[#This Row],[DATE]])</f>
        <v>6</v>
      </c>
      <c r="D14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140" t="s">
        <v>33</v>
      </c>
      <c r="F140">
        <v>4</v>
      </c>
      <c r="G140" t="s">
        <v>87</v>
      </c>
      <c r="H140" t="s">
        <v>82</v>
      </c>
      <c r="I140">
        <v>36</v>
      </c>
      <c r="J140" t="s">
        <v>34</v>
      </c>
      <c r="K140" t="s">
        <v>26</v>
      </c>
      <c r="L140" t="s">
        <v>4</v>
      </c>
      <c r="M140">
        <v>112</v>
      </c>
      <c r="N140">
        <v>146.72</v>
      </c>
      <c r="O140">
        <f>Base_ventes[[#This Row],[BD_2.SELLING PRICE]]*Base_ventes[[#This Row],[QUANTITY]]</f>
        <v>586.88</v>
      </c>
      <c r="P140">
        <f>Base_ventes[[#This Row],[BD_2.BUYING PRIZE]]*Base_ventes[[#This Row],[QUANTITY]]</f>
        <v>448</v>
      </c>
      <c r="Q140">
        <f>Base_ventes[[#This Row],[Montant Vendu]]-Base_ventes[[#This Row],[Montant Acheté]]</f>
        <v>138.88</v>
      </c>
    </row>
    <row r="141" spans="1:17" x14ac:dyDescent="0.3">
      <c r="A141" s="1">
        <v>44378</v>
      </c>
      <c r="B141">
        <f>YEAR(Base_ventes[[#This Row],[DATE]])</f>
        <v>2021</v>
      </c>
      <c r="C141">
        <f>MONTH(Base_ventes[[#This Row],[DATE]])</f>
        <v>7</v>
      </c>
      <c r="D14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41" t="s">
        <v>12</v>
      </c>
      <c r="F141">
        <v>11</v>
      </c>
      <c r="G141" t="s">
        <v>87</v>
      </c>
      <c r="H141" t="s">
        <v>84</v>
      </c>
      <c r="I141">
        <v>23</v>
      </c>
      <c r="J141" t="s">
        <v>13</v>
      </c>
      <c r="K141" t="s">
        <v>3</v>
      </c>
      <c r="L141" t="s">
        <v>14</v>
      </c>
      <c r="M141">
        <v>133</v>
      </c>
      <c r="N141">
        <v>155.61000000000001</v>
      </c>
      <c r="O141">
        <f>Base_ventes[[#This Row],[BD_2.SELLING PRICE]]*Base_ventes[[#This Row],[QUANTITY]]</f>
        <v>1711.71</v>
      </c>
      <c r="P141">
        <f>Base_ventes[[#This Row],[BD_2.BUYING PRIZE]]*Base_ventes[[#This Row],[QUANTITY]]</f>
        <v>1463</v>
      </c>
      <c r="Q141">
        <f>Base_ventes[[#This Row],[Montant Vendu]]-Base_ventes[[#This Row],[Montant Acheté]]</f>
        <v>248.71000000000004</v>
      </c>
    </row>
    <row r="142" spans="1:17" x14ac:dyDescent="0.3">
      <c r="A142" s="1">
        <v>44379</v>
      </c>
      <c r="B142">
        <f>YEAR(Base_ventes[[#This Row],[DATE]])</f>
        <v>2021</v>
      </c>
      <c r="C142">
        <f>MONTH(Base_ventes[[#This Row],[DATE]])</f>
        <v>7</v>
      </c>
      <c r="D14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42" t="s">
        <v>24</v>
      </c>
      <c r="F142">
        <v>11</v>
      </c>
      <c r="G142" t="s">
        <v>87</v>
      </c>
      <c r="H142" t="s">
        <v>84</v>
      </c>
      <c r="I142">
        <v>21</v>
      </c>
      <c r="J142" t="s">
        <v>25</v>
      </c>
      <c r="K142" t="s">
        <v>26</v>
      </c>
      <c r="L142" t="s">
        <v>14</v>
      </c>
      <c r="M142">
        <v>148</v>
      </c>
      <c r="N142">
        <v>164.28</v>
      </c>
      <c r="O142">
        <f>Base_ventes[[#This Row],[BD_2.SELLING PRICE]]*Base_ventes[[#This Row],[QUANTITY]]</f>
        <v>1807.08</v>
      </c>
      <c r="P142">
        <f>Base_ventes[[#This Row],[BD_2.BUYING PRIZE]]*Base_ventes[[#This Row],[QUANTITY]]</f>
        <v>1628</v>
      </c>
      <c r="Q142">
        <f>Base_ventes[[#This Row],[Montant Vendu]]-Base_ventes[[#This Row],[Montant Acheté]]</f>
        <v>179.07999999999993</v>
      </c>
    </row>
    <row r="143" spans="1:17" x14ac:dyDescent="0.3">
      <c r="A143" s="1">
        <v>44380</v>
      </c>
      <c r="B143">
        <f>YEAR(Base_ventes[[#This Row],[DATE]])</f>
        <v>2021</v>
      </c>
      <c r="C143">
        <f>MONTH(Base_ventes[[#This Row],[DATE]])</f>
        <v>7</v>
      </c>
      <c r="D14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43" t="s">
        <v>92</v>
      </c>
      <c r="F143">
        <v>9</v>
      </c>
      <c r="G143" t="s">
        <v>82</v>
      </c>
      <c r="H143" t="s">
        <v>84</v>
      </c>
      <c r="I143">
        <v>71</v>
      </c>
      <c r="J143" t="s">
        <v>93</v>
      </c>
      <c r="K143" t="s">
        <v>60</v>
      </c>
      <c r="L143" t="s">
        <v>4</v>
      </c>
      <c r="M143">
        <v>95</v>
      </c>
      <c r="N143">
        <v>119.7</v>
      </c>
      <c r="O143">
        <f>Base_ventes[[#This Row],[BD_2.SELLING PRICE]]*Base_ventes[[#This Row],[QUANTITY]]</f>
        <v>1077.3</v>
      </c>
      <c r="P143">
        <f>Base_ventes[[#This Row],[BD_2.BUYING PRIZE]]*Base_ventes[[#This Row],[QUANTITY]]</f>
        <v>855</v>
      </c>
      <c r="Q143">
        <f>Base_ventes[[#This Row],[Montant Vendu]]-Base_ventes[[#This Row],[Montant Acheté]]</f>
        <v>222.29999999999995</v>
      </c>
    </row>
    <row r="144" spans="1:17" x14ac:dyDescent="0.3">
      <c r="A144" s="1">
        <v>44380</v>
      </c>
      <c r="B144">
        <f>YEAR(Base_ventes[[#This Row],[DATE]])</f>
        <v>2021</v>
      </c>
      <c r="C144">
        <f>MONTH(Base_ventes[[#This Row],[DATE]])</f>
        <v>7</v>
      </c>
      <c r="D14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44" t="s">
        <v>7</v>
      </c>
      <c r="F144">
        <v>8</v>
      </c>
      <c r="G144" t="s">
        <v>82</v>
      </c>
      <c r="H144" t="s">
        <v>84</v>
      </c>
      <c r="I144">
        <v>72</v>
      </c>
      <c r="J144" t="s">
        <v>8</v>
      </c>
      <c r="K144" t="s">
        <v>3</v>
      </c>
      <c r="L144" t="s">
        <v>4</v>
      </c>
      <c r="M144">
        <v>71</v>
      </c>
      <c r="N144">
        <v>80.94</v>
      </c>
      <c r="O144">
        <f>Base_ventes[[#This Row],[BD_2.SELLING PRICE]]*Base_ventes[[#This Row],[QUANTITY]]</f>
        <v>647.52</v>
      </c>
      <c r="P144">
        <f>Base_ventes[[#This Row],[BD_2.BUYING PRIZE]]*Base_ventes[[#This Row],[QUANTITY]]</f>
        <v>568</v>
      </c>
      <c r="Q144">
        <f>Base_ventes[[#This Row],[Montant Vendu]]-Base_ventes[[#This Row],[Montant Acheté]]</f>
        <v>79.519999999999982</v>
      </c>
    </row>
    <row r="145" spans="1:17" x14ac:dyDescent="0.3">
      <c r="A145" s="1">
        <v>44382</v>
      </c>
      <c r="B145">
        <f>YEAR(Base_ventes[[#This Row],[DATE]])</f>
        <v>2021</v>
      </c>
      <c r="C145">
        <f>MONTH(Base_ventes[[#This Row],[DATE]])</f>
        <v>7</v>
      </c>
      <c r="D14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45" t="s">
        <v>5</v>
      </c>
      <c r="F145">
        <v>8</v>
      </c>
      <c r="G145" t="s">
        <v>87</v>
      </c>
      <c r="H145" t="s">
        <v>82</v>
      </c>
      <c r="I145">
        <v>51</v>
      </c>
      <c r="J145" t="s">
        <v>6</v>
      </c>
      <c r="K145" t="s">
        <v>3</v>
      </c>
      <c r="L145" t="s">
        <v>4</v>
      </c>
      <c r="M145">
        <v>105</v>
      </c>
      <c r="N145">
        <v>142.80000000000001</v>
      </c>
      <c r="O145">
        <f>Base_ventes[[#This Row],[BD_2.SELLING PRICE]]*Base_ventes[[#This Row],[QUANTITY]]</f>
        <v>1142.4000000000001</v>
      </c>
      <c r="P145">
        <f>Base_ventes[[#This Row],[BD_2.BUYING PRIZE]]*Base_ventes[[#This Row],[QUANTITY]]</f>
        <v>840</v>
      </c>
      <c r="Q145">
        <f>Base_ventes[[#This Row],[Montant Vendu]]-Base_ventes[[#This Row],[Montant Acheté]]</f>
        <v>302.40000000000009</v>
      </c>
    </row>
    <row r="146" spans="1:17" x14ac:dyDescent="0.3">
      <c r="A146" s="1">
        <v>44383</v>
      </c>
      <c r="B146">
        <f>YEAR(Base_ventes[[#This Row],[DATE]])</f>
        <v>2021</v>
      </c>
      <c r="C146">
        <f>MONTH(Base_ventes[[#This Row],[DATE]])</f>
        <v>7</v>
      </c>
      <c r="D14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46" t="s">
        <v>104</v>
      </c>
      <c r="F146">
        <v>15</v>
      </c>
      <c r="G146" t="s">
        <v>87</v>
      </c>
      <c r="H146" t="s">
        <v>84</v>
      </c>
      <c r="I146">
        <v>39</v>
      </c>
      <c r="J146" t="s">
        <v>105</v>
      </c>
      <c r="K146" t="s">
        <v>86</v>
      </c>
      <c r="L146" t="s">
        <v>14</v>
      </c>
      <c r="M146">
        <v>138</v>
      </c>
      <c r="N146">
        <v>173.88</v>
      </c>
      <c r="O146">
        <f>Base_ventes[[#This Row],[BD_2.SELLING PRICE]]*Base_ventes[[#This Row],[QUANTITY]]</f>
        <v>2608.1999999999998</v>
      </c>
      <c r="P146">
        <f>Base_ventes[[#This Row],[BD_2.BUYING PRIZE]]*Base_ventes[[#This Row],[QUANTITY]]</f>
        <v>2070</v>
      </c>
      <c r="Q146">
        <f>Base_ventes[[#This Row],[Montant Vendu]]-Base_ventes[[#This Row],[Montant Acheté]]</f>
        <v>538.19999999999982</v>
      </c>
    </row>
    <row r="147" spans="1:17" x14ac:dyDescent="0.3">
      <c r="A147" s="1">
        <v>44385</v>
      </c>
      <c r="B147">
        <f>YEAR(Base_ventes[[#This Row],[DATE]])</f>
        <v>2021</v>
      </c>
      <c r="C147">
        <f>MONTH(Base_ventes[[#This Row],[DATE]])</f>
        <v>7</v>
      </c>
      <c r="D14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47" t="s">
        <v>9</v>
      </c>
      <c r="F147">
        <v>10</v>
      </c>
      <c r="G147" t="s">
        <v>87</v>
      </c>
      <c r="H147" t="s">
        <v>82</v>
      </c>
      <c r="I147">
        <v>52</v>
      </c>
      <c r="J147" t="s">
        <v>10</v>
      </c>
      <c r="K147" t="s">
        <v>3</v>
      </c>
      <c r="L147" t="s">
        <v>11</v>
      </c>
      <c r="M147">
        <v>44</v>
      </c>
      <c r="N147">
        <v>48.84</v>
      </c>
      <c r="O147">
        <f>Base_ventes[[#This Row],[BD_2.SELLING PRICE]]*Base_ventes[[#This Row],[QUANTITY]]</f>
        <v>488.40000000000003</v>
      </c>
      <c r="P147">
        <f>Base_ventes[[#This Row],[BD_2.BUYING PRIZE]]*Base_ventes[[#This Row],[QUANTITY]]</f>
        <v>440</v>
      </c>
      <c r="Q147">
        <f>Base_ventes[[#This Row],[Montant Vendu]]-Base_ventes[[#This Row],[Montant Acheté]]</f>
        <v>48.400000000000034</v>
      </c>
    </row>
    <row r="148" spans="1:17" x14ac:dyDescent="0.3">
      <c r="A148" s="1">
        <v>44387</v>
      </c>
      <c r="B148">
        <f>YEAR(Base_ventes[[#This Row],[DATE]])</f>
        <v>2021</v>
      </c>
      <c r="C148">
        <f>MONTH(Base_ventes[[#This Row],[DATE]])</f>
        <v>7</v>
      </c>
      <c r="D14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48" t="s">
        <v>94</v>
      </c>
      <c r="F148">
        <v>6</v>
      </c>
      <c r="G148" t="s">
        <v>81</v>
      </c>
      <c r="H148" t="s">
        <v>84</v>
      </c>
      <c r="I148">
        <v>6</v>
      </c>
      <c r="J148" t="s">
        <v>95</v>
      </c>
      <c r="K148" t="s">
        <v>60</v>
      </c>
      <c r="L148" t="s">
        <v>11</v>
      </c>
      <c r="M148">
        <v>55</v>
      </c>
      <c r="N148">
        <v>58.3</v>
      </c>
      <c r="O148">
        <f>Base_ventes[[#This Row],[BD_2.SELLING PRICE]]*Base_ventes[[#This Row],[QUANTITY]]</f>
        <v>349.79999999999995</v>
      </c>
      <c r="P148">
        <f>Base_ventes[[#This Row],[BD_2.BUYING PRIZE]]*Base_ventes[[#This Row],[QUANTITY]]</f>
        <v>330</v>
      </c>
      <c r="Q148">
        <f>Base_ventes[[#This Row],[Montant Vendu]]-Base_ventes[[#This Row],[Montant Acheté]]</f>
        <v>19.799999999999955</v>
      </c>
    </row>
    <row r="149" spans="1:17" x14ac:dyDescent="0.3">
      <c r="A149" s="1">
        <v>44388</v>
      </c>
      <c r="B149">
        <f>YEAR(Base_ventes[[#This Row],[DATE]])</f>
        <v>2021</v>
      </c>
      <c r="C149">
        <f>MONTH(Base_ventes[[#This Row],[DATE]])</f>
        <v>7</v>
      </c>
      <c r="D14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49" t="s">
        <v>21</v>
      </c>
      <c r="F149">
        <v>4</v>
      </c>
      <c r="G149" t="s">
        <v>81</v>
      </c>
      <c r="H149" t="s">
        <v>82</v>
      </c>
      <c r="I149">
        <v>1</v>
      </c>
      <c r="J149" t="s">
        <v>22</v>
      </c>
      <c r="K149" t="s">
        <v>3</v>
      </c>
      <c r="L149" t="s">
        <v>23</v>
      </c>
      <c r="M149">
        <v>6</v>
      </c>
      <c r="N149">
        <v>7.8599999999999994</v>
      </c>
      <c r="O149">
        <f>Base_ventes[[#This Row],[BD_2.SELLING PRICE]]*Base_ventes[[#This Row],[QUANTITY]]</f>
        <v>31.439999999999998</v>
      </c>
      <c r="P149">
        <f>Base_ventes[[#This Row],[BD_2.BUYING PRIZE]]*Base_ventes[[#This Row],[QUANTITY]]</f>
        <v>24</v>
      </c>
      <c r="Q149">
        <f>Base_ventes[[#This Row],[Montant Vendu]]-Base_ventes[[#This Row],[Montant Acheté]]</f>
        <v>7.4399999999999977</v>
      </c>
    </row>
    <row r="150" spans="1:17" x14ac:dyDescent="0.3">
      <c r="A150" s="1">
        <v>44390</v>
      </c>
      <c r="B150">
        <f>YEAR(Base_ventes[[#This Row],[DATE]])</f>
        <v>2021</v>
      </c>
      <c r="C150">
        <f>MONTH(Base_ventes[[#This Row],[DATE]])</f>
        <v>7</v>
      </c>
      <c r="D15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50" t="s">
        <v>43</v>
      </c>
      <c r="F150">
        <v>1</v>
      </c>
      <c r="G150" t="s">
        <v>87</v>
      </c>
      <c r="H150" t="s">
        <v>84</v>
      </c>
      <c r="I150">
        <v>77</v>
      </c>
      <c r="J150" t="s">
        <v>44</v>
      </c>
      <c r="K150" t="s">
        <v>26</v>
      </c>
      <c r="L150" t="s">
        <v>14</v>
      </c>
      <c r="M150">
        <v>150</v>
      </c>
      <c r="N150">
        <v>210</v>
      </c>
      <c r="O150">
        <f>Base_ventes[[#This Row],[BD_2.SELLING PRICE]]*Base_ventes[[#This Row],[QUANTITY]]</f>
        <v>210</v>
      </c>
      <c r="P150">
        <f>Base_ventes[[#This Row],[BD_2.BUYING PRIZE]]*Base_ventes[[#This Row],[QUANTITY]]</f>
        <v>150</v>
      </c>
      <c r="Q150">
        <f>Base_ventes[[#This Row],[Montant Vendu]]-Base_ventes[[#This Row],[Montant Acheté]]</f>
        <v>60</v>
      </c>
    </row>
    <row r="151" spans="1:17" x14ac:dyDescent="0.3">
      <c r="A151" s="1">
        <v>44393</v>
      </c>
      <c r="B151">
        <f>YEAR(Base_ventes[[#This Row],[DATE]])</f>
        <v>2021</v>
      </c>
      <c r="C151">
        <f>MONTH(Base_ventes[[#This Row],[DATE]])</f>
        <v>7</v>
      </c>
      <c r="D15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51" t="s">
        <v>52</v>
      </c>
      <c r="F151">
        <v>8</v>
      </c>
      <c r="G151" t="s">
        <v>81</v>
      </c>
      <c r="H151" t="s">
        <v>84</v>
      </c>
      <c r="I151">
        <v>1</v>
      </c>
      <c r="J151" t="s">
        <v>53</v>
      </c>
      <c r="K151" t="s">
        <v>47</v>
      </c>
      <c r="L151" t="s">
        <v>14</v>
      </c>
      <c r="M151">
        <v>141</v>
      </c>
      <c r="N151">
        <v>149.46</v>
      </c>
      <c r="O151">
        <f>Base_ventes[[#This Row],[BD_2.SELLING PRICE]]*Base_ventes[[#This Row],[QUANTITY]]</f>
        <v>1195.68</v>
      </c>
      <c r="P151">
        <f>Base_ventes[[#This Row],[BD_2.BUYING PRIZE]]*Base_ventes[[#This Row],[QUANTITY]]</f>
        <v>1128</v>
      </c>
      <c r="Q151">
        <f>Base_ventes[[#This Row],[Montant Vendu]]-Base_ventes[[#This Row],[Montant Acheté]]</f>
        <v>67.680000000000064</v>
      </c>
    </row>
    <row r="152" spans="1:17" x14ac:dyDescent="0.3">
      <c r="A152" s="1">
        <v>44395</v>
      </c>
      <c r="B152">
        <f>YEAR(Base_ventes[[#This Row],[DATE]])</f>
        <v>2021</v>
      </c>
      <c r="C152">
        <f>MONTH(Base_ventes[[#This Row],[DATE]])</f>
        <v>7</v>
      </c>
      <c r="D15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52" t="s">
        <v>61</v>
      </c>
      <c r="F152">
        <v>14</v>
      </c>
      <c r="G152" t="s">
        <v>82</v>
      </c>
      <c r="H152" t="s">
        <v>82</v>
      </c>
      <c r="I152">
        <v>20</v>
      </c>
      <c r="J152" t="s">
        <v>62</v>
      </c>
      <c r="K152" t="s">
        <v>60</v>
      </c>
      <c r="L152" t="s">
        <v>11</v>
      </c>
      <c r="M152">
        <v>48</v>
      </c>
      <c r="N152">
        <v>57.120000000000005</v>
      </c>
      <c r="O152">
        <f>Base_ventes[[#This Row],[BD_2.SELLING PRICE]]*Base_ventes[[#This Row],[QUANTITY]]</f>
        <v>799.68000000000006</v>
      </c>
      <c r="P152">
        <f>Base_ventes[[#This Row],[BD_2.BUYING PRIZE]]*Base_ventes[[#This Row],[QUANTITY]]</f>
        <v>672</v>
      </c>
      <c r="Q152">
        <f>Base_ventes[[#This Row],[Montant Vendu]]-Base_ventes[[#This Row],[Montant Acheté]]</f>
        <v>127.68000000000006</v>
      </c>
    </row>
    <row r="153" spans="1:17" x14ac:dyDescent="0.3">
      <c r="A153" s="1">
        <v>44397</v>
      </c>
      <c r="B153">
        <f>YEAR(Base_ventes[[#This Row],[DATE]])</f>
        <v>2021</v>
      </c>
      <c r="C153">
        <f>MONTH(Base_ventes[[#This Row],[DATE]])</f>
        <v>7</v>
      </c>
      <c r="D15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53" t="s">
        <v>83</v>
      </c>
      <c r="F153">
        <v>11</v>
      </c>
      <c r="G153" t="s">
        <v>82</v>
      </c>
      <c r="H153" t="s">
        <v>82</v>
      </c>
      <c r="I153">
        <v>20</v>
      </c>
      <c r="J153" t="s">
        <v>85</v>
      </c>
      <c r="K153" t="s">
        <v>86</v>
      </c>
      <c r="L153" t="s">
        <v>4</v>
      </c>
      <c r="M153">
        <v>72</v>
      </c>
      <c r="N153">
        <v>79.92</v>
      </c>
      <c r="O153">
        <f>Base_ventes[[#This Row],[BD_2.SELLING PRICE]]*Base_ventes[[#This Row],[QUANTITY]]</f>
        <v>879.12</v>
      </c>
      <c r="P153">
        <f>Base_ventes[[#This Row],[BD_2.BUYING PRIZE]]*Base_ventes[[#This Row],[QUANTITY]]</f>
        <v>792</v>
      </c>
      <c r="Q153">
        <f>Base_ventes[[#This Row],[Montant Vendu]]-Base_ventes[[#This Row],[Montant Acheté]]</f>
        <v>87.12</v>
      </c>
    </row>
    <row r="154" spans="1:17" x14ac:dyDescent="0.3">
      <c r="A154" s="1">
        <v>44397</v>
      </c>
      <c r="B154">
        <f>YEAR(Base_ventes[[#This Row],[DATE]])</f>
        <v>2021</v>
      </c>
      <c r="C154">
        <f>MONTH(Base_ventes[[#This Row],[DATE]])</f>
        <v>7</v>
      </c>
      <c r="D15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54" t="s">
        <v>108</v>
      </c>
      <c r="F154">
        <v>5</v>
      </c>
      <c r="G154" t="s">
        <v>87</v>
      </c>
      <c r="H154" t="s">
        <v>82</v>
      </c>
      <c r="I154">
        <v>53</v>
      </c>
      <c r="J154" t="s">
        <v>109</v>
      </c>
      <c r="K154" t="s">
        <v>86</v>
      </c>
      <c r="L154" t="s">
        <v>4</v>
      </c>
      <c r="M154">
        <v>67</v>
      </c>
      <c r="N154">
        <v>83.08</v>
      </c>
      <c r="O154">
        <f>Base_ventes[[#This Row],[BD_2.SELLING PRICE]]*Base_ventes[[#This Row],[QUANTITY]]</f>
        <v>415.4</v>
      </c>
      <c r="P154">
        <f>Base_ventes[[#This Row],[BD_2.BUYING PRIZE]]*Base_ventes[[#This Row],[QUANTITY]]</f>
        <v>335</v>
      </c>
      <c r="Q154">
        <f>Base_ventes[[#This Row],[Montant Vendu]]-Base_ventes[[#This Row],[Montant Acheté]]</f>
        <v>80.399999999999977</v>
      </c>
    </row>
    <row r="155" spans="1:17" x14ac:dyDescent="0.3">
      <c r="A155" s="1">
        <v>44398</v>
      </c>
      <c r="B155">
        <f>YEAR(Base_ventes[[#This Row],[DATE]])</f>
        <v>2021</v>
      </c>
      <c r="C155">
        <f>MONTH(Base_ventes[[#This Row],[DATE]])</f>
        <v>7</v>
      </c>
      <c r="D15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55" t="s">
        <v>65</v>
      </c>
      <c r="F155">
        <v>15</v>
      </c>
      <c r="G155" t="s">
        <v>87</v>
      </c>
      <c r="H155" t="s">
        <v>82</v>
      </c>
      <c r="I155">
        <v>48</v>
      </c>
      <c r="J155" t="s">
        <v>66</v>
      </c>
      <c r="K155" t="s">
        <v>60</v>
      </c>
      <c r="L155" t="s">
        <v>11</v>
      </c>
      <c r="M155">
        <v>47</v>
      </c>
      <c r="N155">
        <v>53.11</v>
      </c>
      <c r="O155">
        <f>Base_ventes[[#This Row],[BD_2.SELLING PRICE]]*Base_ventes[[#This Row],[QUANTITY]]</f>
        <v>796.65</v>
      </c>
      <c r="P155">
        <f>Base_ventes[[#This Row],[BD_2.BUYING PRIZE]]*Base_ventes[[#This Row],[QUANTITY]]</f>
        <v>705</v>
      </c>
      <c r="Q155">
        <f>Base_ventes[[#This Row],[Montant Vendu]]-Base_ventes[[#This Row],[Montant Acheté]]</f>
        <v>91.649999999999977</v>
      </c>
    </row>
    <row r="156" spans="1:17" x14ac:dyDescent="0.3">
      <c r="A156" s="1">
        <v>44399</v>
      </c>
      <c r="B156">
        <f>YEAR(Base_ventes[[#This Row],[DATE]])</f>
        <v>2021</v>
      </c>
      <c r="C156">
        <f>MONTH(Base_ventes[[#This Row],[DATE]])</f>
        <v>7</v>
      </c>
      <c r="D15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56" t="s">
        <v>58</v>
      </c>
      <c r="F156">
        <v>3</v>
      </c>
      <c r="G156" t="s">
        <v>81</v>
      </c>
      <c r="H156" t="s">
        <v>84</v>
      </c>
      <c r="I156">
        <v>87</v>
      </c>
      <c r="J156" t="s">
        <v>59</v>
      </c>
      <c r="K156" t="s">
        <v>60</v>
      </c>
      <c r="L156" t="s">
        <v>23</v>
      </c>
      <c r="M156">
        <v>18</v>
      </c>
      <c r="N156">
        <v>24.66</v>
      </c>
      <c r="O156">
        <f>Base_ventes[[#This Row],[BD_2.SELLING PRICE]]*Base_ventes[[#This Row],[QUANTITY]]</f>
        <v>73.98</v>
      </c>
      <c r="P156">
        <f>Base_ventes[[#This Row],[BD_2.BUYING PRIZE]]*Base_ventes[[#This Row],[QUANTITY]]</f>
        <v>54</v>
      </c>
      <c r="Q156">
        <f>Base_ventes[[#This Row],[Montant Vendu]]-Base_ventes[[#This Row],[Montant Acheté]]</f>
        <v>19.980000000000004</v>
      </c>
    </row>
    <row r="157" spans="1:17" x14ac:dyDescent="0.3">
      <c r="A157" s="1">
        <v>44399</v>
      </c>
      <c r="B157">
        <f>YEAR(Base_ventes[[#This Row],[DATE]])</f>
        <v>2021</v>
      </c>
      <c r="C157">
        <f>MONTH(Base_ventes[[#This Row],[DATE]])</f>
        <v>7</v>
      </c>
      <c r="D15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57" t="s">
        <v>54</v>
      </c>
      <c r="F157">
        <v>14</v>
      </c>
      <c r="G157" t="s">
        <v>82</v>
      </c>
      <c r="H157" t="s">
        <v>84</v>
      </c>
      <c r="I157">
        <v>59</v>
      </c>
      <c r="J157" t="s">
        <v>55</v>
      </c>
      <c r="K157" t="s">
        <v>47</v>
      </c>
      <c r="L157" t="s">
        <v>14</v>
      </c>
      <c r="M157">
        <v>144</v>
      </c>
      <c r="N157">
        <v>156.96</v>
      </c>
      <c r="O157">
        <f>Base_ventes[[#This Row],[BD_2.SELLING PRICE]]*Base_ventes[[#This Row],[QUANTITY]]</f>
        <v>2197.44</v>
      </c>
      <c r="P157">
        <f>Base_ventes[[#This Row],[BD_2.BUYING PRIZE]]*Base_ventes[[#This Row],[QUANTITY]]</f>
        <v>2016</v>
      </c>
      <c r="Q157">
        <f>Base_ventes[[#This Row],[Montant Vendu]]-Base_ventes[[#This Row],[Montant Acheté]]</f>
        <v>181.44000000000005</v>
      </c>
    </row>
    <row r="158" spans="1:17" x14ac:dyDescent="0.3">
      <c r="A158" s="1">
        <v>44400</v>
      </c>
      <c r="B158">
        <f>YEAR(Base_ventes[[#This Row],[DATE]])</f>
        <v>2021</v>
      </c>
      <c r="C158">
        <f>MONTH(Base_ventes[[#This Row],[DATE]])</f>
        <v>7</v>
      </c>
      <c r="D15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58" t="s">
        <v>96</v>
      </c>
      <c r="F158">
        <v>7</v>
      </c>
      <c r="G158" t="s">
        <v>81</v>
      </c>
      <c r="H158" t="s">
        <v>82</v>
      </c>
      <c r="I158">
        <v>39</v>
      </c>
      <c r="J158" t="s">
        <v>97</v>
      </c>
      <c r="K158" t="s">
        <v>60</v>
      </c>
      <c r="L158" t="s">
        <v>4</v>
      </c>
      <c r="M158">
        <v>90</v>
      </c>
      <c r="N158">
        <v>96.3</v>
      </c>
      <c r="O158">
        <f>Base_ventes[[#This Row],[BD_2.SELLING PRICE]]*Base_ventes[[#This Row],[QUANTITY]]</f>
        <v>674.1</v>
      </c>
      <c r="P158">
        <f>Base_ventes[[#This Row],[BD_2.BUYING PRIZE]]*Base_ventes[[#This Row],[QUANTITY]]</f>
        <v>630</v>
      </c>
      <c r="Q158">
        <f>Base_ventes[[#This Row],[Montant Vendu]]-Base_ventes[[#This Row],[Montant Acheté]]</f>
        <v>44.100000000000023</v>
      </c>
    </row>
    <row r="159" spans="1:17" x14ac:dyDescent="0.3">
      <c r="A159" s="1">
        <v>44400</v>
      </c>
      <c r="B159">
        <f>YEAR(Base_ventes[[#This Row],[DATE]])</f>
        <v>2021</v>
      </c>
      <c r="C159">
        <f>MONTH(Base_ventes[[#This Row],[DATE]])</f>
        <v>7</v>
      </c>
      <c r="D15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59" t="s">
        <v>98</v>
      </c>
      <c r="F159">
        <v>8</v>
      </c>
      <c r="G159" t="s">
        <v>87</v>
      </c>
      <c r="H159" t="s">
        <v>82</v>
      </c>
      <c r="I159">
        <v>40</v>
      </c>
      <c r="J159" t="s">
        <v>99</v>
      </c>
      <c r="K159" t="s">
        <v>86</v>
      </c>
      <c r="L159" t="s">
        <v>4</v>
      </c>
      <c r="M159">
        <v>67</v>
      </c>
      <c r="N159">
        <v>85.76</v>
      </c>
      <c r="O159">
        <f>Base_ventes[[#This Row],[BD_2.SELLING PRICE]]*Base_ventes[[#This Row],[QUANTITY]]</f>
        <v>686.08</v>
      </c>
      <c r="P159">
        <f>Base_ventes[[#This Row],[BD_2.BUYING PRIZE]]*Base_ventes[[#This Row],[QUANTITY]]</f>
        <v>536</v>
      </c>
      <c r="Q159">
        <f>Base_ventes[[#This Row],[Montant Vendu]]-Base_ventes[[#This Row],[Montant Acheté]]</f>
        <v>150.08000000000004</v>
      </c>
    </row>
    <row r="160" spans="1:17" x14ac:dyDescent="0.3">
      <c r="A160" s="1">
        <v>44401</v>
      </c>
      <c r="B160">
        <f>YEAR(Base_ventes[[#This Row],[DATE]])</f>
        <v>2021</v>
      </c>
      <c r="C160">
        <f>MONTH(Base_ventes[[#This Row],[DATE]])</f>
        <v>7</v>
      </c>
      <c r="D16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60" t="s">
        <v>21</v>
      </c>
      <c r="F160">
        <v>4</v>
      </c>
      <c r="G160" t="s">
        <v>82</v>
      </c>
      <c r="H160" t="s">
        <v>84</v>
      </c>
      <c r="I160">
        <v>55</v>
      </c>
      <c r="J160" t="s">
        <v>22</v>
      </c>
      <c r="K160" t="s">
        <v>3</v>
      </c>
      <c r="L160" t="s">
        <v>23</v>
      </c>
      <c r="M160">
        <v>6</v>
      </c>
      <c r="N160">
        <v>7.8599999999999994</v>
      </c>
      <c r="O160">
        <f>Base_ventes[[#This Row],[BD_2.SELLING PRICE]]*Base_ventes[[#This Row],[QUANTITY]]</f>
        <v>31.439999999999998</v>
      </c>
      <c r="P160">
        <f>Base_ventes[[#This Row],[BD_2.BUYING PRIZE]]*Base_ventes[[#This Row],[QUANTITY]]</f>
        <v>24</v>
      </c>
      <c r="Q160">
        <f>Base_ventes[[#This Row],[Montant Vendu]]-Base_ventes[[#This Row],[Montant Acheté]]</f>
        <v>7.4399999999999977</v>
      </c>
    </row>
    <row r="161" spans="1:17" x14ac:dyDescent="0.3">
      <c r="A161" s="1">
        <v>44406</v>
      </c>
      <c r="B161">
        <f>YEAR(Base_ventes[[#This Row],[DATE]])</f>
        <v>2021</v>
      </c>
      <c r="C161">
        <f>MONTH(Base_ventes[[#This Row],[DATE]])</f>
        <v>7</v>
      </c>
      <c r="D16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161" t="s">
        <v>110</v>
      </c>
      <c r="F161">
        <v>15</v>
      </c>
      <c r="G161" t="s">
        <v>82</v>
      </c>
      <c r="H161" t="s">
        <v>84</v>
      </c>
      <c r="I161">
        <v>79</v>
      </c>
      <c r="J161" t="s">
        <v>111</v>
      </c>
      <c r="K161" t="s">
        <v>86</v>
      </c>
      <c r="L161" t="s">
        <v>4</v>
      </c>
      <c r="M161">
        <v>76</v>
      </c>
      <c r="N161">
        <v>82.08</v>
      </c>
      <c r="O161">
        <f>Base_ventes[[#This Row],[BD_2.SELLING PRICE]]*Base_ventes[[#This Row],[QUANTITY]]</f>
        <v>1231.2</v>
      </c>
      <c r="P161">
        <f>Base_ventes[[#This Row],[BD_2.BUYING PRIZE]]*Base_ventes[[#This Row],[QUANTITY]]</f>
        <v>1140</v>
      </c>
      <c r="Q161">
        <f>Base_ventes[[#This Row],[Montant Vendu]]-Base_ventes[[#This Row],[Montant Acheté]]</f>
        <v>91.200000000000045</v>
      </c>
    </row>
    <row r="162" spans="1:17" x14ac:dyDescent="0.3">
      <c r="A162" s="1">
        <v>44409</v>
      </c>
      <c r="B162">
        <f>YEAR(Base_ventes[[#This Row],[DATE]])</f>
        <v>2021</v>
      </c>
      <c r="C162">
        <f>MONTH(Base_ventes[[#This Row],[DATE]])</f>
        <v>8</v>
      </c>
      <c r="D16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62" t="s">
        <v>1</v>
      </c>
      <c r="F162">
        <v>11</v>
      </c>
      <c r="G162" t="s">
        <v>87</v>
      </c>
      <c r="H162" t="s">
        <v>84</v>
      </c>
      <c r="I162">
        <v>17</v>
      </c>
      <c r="J162" t="s">
        <v>2</v>
      </c>
      <c r="K162" t="s">
        <v>3</v>
      </c>
      <c r="L162" t="s">
        <v>4</v>
      </c>
      <c r="M162">
        <v>98</v>
      </c>
      <c r="N162">
        <v>103.88</v>
      </c>
      <c r="O162">
        <f>Base_ventes[[#This Row],[BD_2.SELLING PRICE]]*Base_ventes[[#This Row],[QUANTITY]]</f>
        <v>1142.6799999999998</v>
      </c>
      <c r="P162">
        <f>Base_ventes[[#This Row],[BD_2.BUYING PRIZE]]*Base_ventes[[#This Row],[QUANTITY]]</f>
        <v>1078</v>
      </c>
      <c r="Q162">
        <f>Base_ventes[[#This Row],[Montant Vendu]]-Base_ventes[[#This Row],[Montant Acheté]]</f>
        <v>64.679999999999836</v>
      </c>
    </row>
    <row r="163" spans="1:17" x14ac:dyDescent="0.3">
      <c r="A163" s="1">
        <v>44410</v>
      </c>
      <c r="B163">
        <f>YEAR(Base_ventes[[#This Row],[DATE]])</f>
        <v>2021</v>
      </c>
      <c r="C163">
        <f>MONTH(Base_ventes[[#This Row],[DATE]])</f>
        <v>8</v>
      </c>
      <c r="D16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63" t="s">
        <v>52</v>
      </c>
      <c r="F163">
        <v>3</v>
      </c>
      <c r="G163" t="s">
        <v>87</v>
      </c>
      <c r="H163" t="s">
        <v>82</v>
      </c>
      <c r="I163">
        <v>58</v>
      </c>
      <c r="J163" t="s">
        <v>53</v>
      </c>
      <c r="K163" t="s">
        <v>47</v>
      </c>
      <c r="L163" t="s">
        <v>14</v>
      </c>
      <c r="M163">
        <v>141</v>
      </c>
      <c r="N163">
        <v>149.46</v>
      </c>
      <c r="O163">
        <f>Base_ventes[[#This Row],[BD_2.SELLING PRICE]]*Base_ventes[[#This Row],[QUANTITY]]</f>
        <v>448.38</v>
      </c>
      <c r="P163">
        <f>Base_ventes[[#This Row],[BD_2.BUYING PRIZE]]*Base_ventes[[#This Row],[QUANTITY]]</f>
        <v>423</v>
      </c>
      <c r="Q163">
        <f>Base_ventes[[#This Row],[Montant Vendu]]-Base_ventes[[#This Row],[Montant Acheté]]</f>
        <v>25.379999999999995</v>
      </c>
    </row>
    <row r="164" spans="1:17" x14ac:dyDescent="0.3">
      <c r="A164" s="1">
        <v>44411</v>
      </c>
      <c r="B164">
        <f>YEAR(Base_ventes[[#This Row],[DATE]])</f>
        <v>2021</v>
      </c>
      <c r="C164">
        <f>MONTH(Base_ventes[[#This Row],[DATE]])</f>
        <v>8</v>
      </c>
      <c r="D16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64" t="s">
        <v>50</v>
      </c>
      <c r="F164">
        <v>13</v>
      </c>
      <c r="G164" t="s">
        <v>82</v>
      </c>
      <c r="H164" t="s">
        <v>82</v>
      </c>
      <c r="I164">
        <v>23</v>
      </c>
      <c r="J164" t="s">
        <v>51</v>
      </c>
      <c r="K164" t="s">
        <v>47</v>
      </c>
      <c r="L164" t="s">
        <v>14</v>
      </c>
      <c r="M164">
        <v>121</v>
      </c>
      <c r="N164">
        <v>141.57</v>
      </c>
      <c r="O164">
        <f>Base_ventes[[#This Row],[BD_2.SELLING PRICE]]*Base_ventes[[#This Row],[QUANTITY]]</f>
        <v>1840.4099999999999</v>
      </c>
      <c r="P164">
        <f>Base_ventes[[#This Row],[BD_2.BUYING PRIZE]]*Base_ventes[[#This Row],[QUANTITY]]</f>
        <v>1573</v>
      </c>
      <c r="Q164">
        <f>Base_ventes[[#This Row],[Montant Vendu]]-Base_ventes[[#This Row],[Montant Acheté]]</f>
        <v>267.40999999999985</v>
      </c>
    </row>
    <row r="165" spans="1:17" x14ac:dyDescent="0.3">
      <c r="A165" s="1">
        <v>44411</v>
      </c>
      <c r="B165">
        <f>YEAR(Base_ventes[[#This Row],[DATE]])</f>
        <v>2021</v>
      </c>
      <c r="C165">
        <f>MONTH(Base_ventes[[#This Row],[DATE]])</f>
        <v>8</v>
      </c>
      <c r="D16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65" t="s">
        <v>94</v>
      </c>
      <c r="F165">
        <v>12</v>
      </c>
      <c r="G165" t="s">
        <v>82</v>
      </c>
      <c r="H165" t="s">
        <v>82</v>
      </c>
      <c r="I165">
        <v>2</v>
      </c>
      <c r="J165" t="s">
        <v>95</v>
      </c>
      <c r="K165" t="s">
        <v>60</v>
      </c>
      <c r="L165" t="s">
        <v>11</v>
      </c>
      <c r="M165">
        <v>55</v>
      </c>
      <c r="N165">
        <v>58.3</v>
      </c>
      <c r="O165">
        <f>Base_ventes[[#This Row],[BD_2.SELLING PRICE]]*Base_ventes[[#This Row],[QUANTITY]]</f>
        <v>699.59999999999991</v>
      </c>
      <c r="P165">
        <f>Base_ventes[[#This Row],[BD_2.BUYING PRIZE]]*Base_ventes[[#This Row],[QUANTITY]]</f>
        <v>660</v>
      </c>
      <c r="Q165">
        <f>Base_ventes[[#This Row],[Montant Vendu]]-Base_ventes[[#This Row],[Montant Acheté]]</f>
        <v>39.599999999999909</v>
      </c>
    </row>
    <row r="166" spans="1:17" x14ac:dyDescent="0.3">
      <c r="A166" s="1">
        <v>44413</v>
      </c>
      <c r="B166">
        <f>YEAR(Base_ventes[[#This Row],[DATE]])</f>
        <v>2021</v>
      </c>
      <c r="C166">
        <f>MONTH(Base_ventes[[#This Row],[DATE]])</f>
        <v>8</v>
      </c>
      <c r="D16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66" t="s">
        <v>63</v>
      </c>
      <c r="F166">
        <v>14</v>
      </c>
      <c r="G166" t="s">
        <v>87</v>
      </c>
      <c r="H166" t="s">
        <v>84</v>
      </c>
      <c r="I166">
        <v>9</v>
      </c>
      <c r="J166" t="s">
        <v>64</v>
      </c>
      <c r="K166" t="s">
        <v>60</v>
      </c>
      <c r="L166" t="s">
        <v>23</v>
      </c>
      <c r="M166">
        <v>37</v>
      </c>
      <c r="N166">
        <v>41.81</v>
      </c>
      <c r="O166">
        <f>Base_ventes[[#This Row],[BD_2.SELLING PRICE]]*Base_ventes[[#This Row],[QUANTITY]]</f>
        <v>585.34</v>
      </c>
      <c r="P166">
        <f>Base_ventes[[#This Row],[BD_2.BUYING PRIZE]]*Base_ventes[[#This Row],[QUANTITY]]</f>
        <v>518</v>
      </c>
      <c r="Q166">
        <f>Base_ventes[[#This Row],[Montant Vendu]]-Base_ventes[[#This Row],[Montant Acheté]]</f>
        <v>67.340000000000032</v>
      </c>
    </row>
    <row r="167" spans="1:17" x14ac:dyDescent="0.3">
      <c r="A167" s="1">
        <v>44414</v>
      </c>
      <c r="B167">
        <f>YEAR(Base_ventes[[#This Row],[DATE]])</f>
        <v>2021</v>
      </c>
      <c r="C167">
        <f>MONTH(Base_ventes[[#This Row],[DATE]])</f>
        <v>8</v>
      </c>
      <c r="D16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67" t="s">
        <v>98</v>
      </c>
      <c r="F167">
        <v>1</v>
      </c>
      <c r="G167" t="s">
        <v>81</v>
      </c>
      <c r="H167" t="s">
        <v>84</v>
      </c>
      <c r="I167">
        <v>28</v>
      </c>
      <c r="J167" t="s">
        <v>99</v>
      </c>
      <c r="K167" t="s">
        <v>86</v>
      </c>
      <c r="L167" t="s">
        <v>4</v>
      </c>
      <c r="M167">
        <v>67</v>
      </c>
      <c r="N167">
        <v>85.76</v>
      </c>
      <c r="O167">
        <f>Base_ventes[[#This Row],[BD_2.SELLING PRICE]]*Base_ventes[[#This Row],[QUANTITY]]</f>
        <v>85.76</v>
      </c>
      <c r="P167">
        <f>Base_ventes[[#This Row],[BD_2.BUYING PRIZE]]*Base_ventes[[#This Row],[QUANTITY]]</f>
        <v>67</v>
      </c>
      <c r="Q167">
        <f>Base_ventes[[#This Row],[Montant Vendu]]-Base_ventes[[#This Row],[Montant Acheté]]</f>
        <v>18.760000000000005</v>
      </c>
    </row>
    <row r="168" spans="1:17" x14ac:dyDescent="0.3">
      <c r="A168" s="1">
        <v>44418</v>
      </c>
      <c r="B168">
        <f>YEAR(Base_ventes[[#This Row],[DATE]])</f>
        <v>2021</v>
      </c>
      <c r="C168">
        <f>MONTH(Base_ventes[[#This Row],[DATE]])</f>
        <v>8</v>
      </c>
      <c r="D16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68" t="s">
        <v>12</v>
      </c>
      <c r="F168">
        <v>4</v>
      </c>
      <c r="G168" t="s">
        <v>81</v>
      </c>
      <c r="H168" t="s">
        <v>84</v>
      </c>
      <c r="I168">
        <v>6</v>
      </c>
      <c r="J168" t="s">
        <v>13</v>
      </c>
      <c r="K168" t="s">
        <v>3</v>
      </c>
      <c r="L168" t="s">
        <v>14</v>
      </c>
      <c r="M168">
        <v>133</v>
      </c>
      <c r="N168">
        <v>155.61000000000001</v>
      </c>
      <c r="O168">
        <f>Base_ventes[[#This Row],[BD_2.SELLING PRICE]]*Base_ventes[[#This Row],[QUANTITY]]</f>
        <v>622.44000000000005</v>
      </c>
      <c r="P168">
        <f>Base_ventes[[#This Row],[BD_2.BUYING PRIZE]]*Base_ventes[[#This Row],[QUANTITY]]</f>
        <v>532</v>
      </c>
      <c r="Q168">
        <f>Base_ventes[[#This Row],[Montant Vendu]]-Base_ventes[[#This Row],[Montant Acheté]]</f>
        <v>90.440000000000055</v>
      </c>
    </row>
    <row r="169" spans="1:17" x14ac:dyDescent="0.3">
      <c r="A169" s="1">
        <v>44418</v>
      </c>
      <c r="B169">
        <f>YEAR(Base_ventes[[#This Row],[DATE]])</f>
        <v>2021</v>
      </c>
      <c r="C169">
        <f>MONTH(Base_ventes[[#This Row],[DATE]])</f>
        <v>8</v>
      </c>
      <c r="D16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69" t="s">
        <v>110</v>
      </c>
      <c r="F169">
        <v>10</v>
      </c>
      <c r="G169" t="s">
        <v>82</v>
      </c>
      <c r="H169" t="s">
        <v>84</v>
      </c>
      <c r="I169">
        <v>49</v>
      </c>
      <c r="J169" t="s">
        <v>111</v>
      </c>
      <c r="K169" t="s">
        <v>86</v>
      </c>
      <c r="L169" t="s">
        <v>4</v>
      </c>
      <c r="M169">
        <v>76</v>
      </c>
      <c r="N169">
        <v>82.08</v>
      </c>
      <c r="O169">
        <f>Base_ventes[[#This Row],[BD_2.SELLING PRICE]]*Base_ventes[[#This Row],[QUANTITY]]</f>
        <v>820.8</v>
      </c>
      <c r="P169">
        <f>Base_ventes[[#This Row],[BD_2.BUYING PRIZE]]*Base_ventes[[#This Row],[QUANTITY]]</f>
        <v>760</v>
      </c>
      <c r="Q169">
        <f>Base_ventes[[#This Row],[Montant Vendu]]-Base_ventes[[#This Row],[Montant Acheté]]</f>
        <v>60.799999999999955</v>
      </c>
    </row>
    <row r="170" spans="1:17" x14ac:dyDescent="0.3">
      <c r="A170" s="1">
        <v>44418</v>
      </c>
      <c r="B170">
        <f>YEAR(Base_ventes[[#This Row],[DATE]])</f>
        <v>2021</v>
      </c>
      <c r="C170">
        <f>MONTH(Base_ventes[[#This Row],[DATE]])</f>
        <v>8</v>
      </c>
      <c r="D17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70" t="s">
        <v>15</v>
      </c>
      <c r="F170">
        <v>6</v>
      </c>
      <c r="G170" t="s">
        <v>87</v>
      </c>
      <c r="H170" t="s">
        <v>84</v>
      </c>
      <c r="I170">
        <v>28</v>
      </c>
      <c r="J170" t="s">
        <v>16</v>
      </c>
      <c r="K170" t="s">
        <v>3</v>
      </c>
      <c r="L170" t="s">
        <v>4</v>
      </c>
      <c r="M170">
        <v>75</v>
      </c>
      <c r="N170">
        <v>85.5</v>
      </c>
      <c r="O170">
        <f>Base_ventes[[#This Row],[BD_2.SELLING PRICE]]*Base_ventes[[#This Row],[QUANTITY]]</f>
        <v>513</v>
      </c>
      <c r="P170">
        <f>Base_ventes[[#This Row],[BD_2.BUYING PRIZE]]*Base_ventes[[#This Row],[QUANTITY]]</f>
        <v>450</v>
      </c>
      <c r="Q170">
        <f>Base_ventes[[#This Row],[Montant Vendu]]-Base_ventes[[#This Row],[Montant Acheté]]</f>
        <v>63</v>
      </c>
    </row>
    <row r="171" spans="1:17" x14ac:dyDescent="0.3">
      <c r="A171" s="1">
        <v>44419</v>
      </c>
      <c r="B171">
        <f>YEAR(Base_ventes[[#This Row],[DATE]])</f>
        <v>2021</v>
      </c>
      <c r="C171">
        <f>MONTH(Base_ventes[[#This Row],[DATE]])</f>
        <v>8</v>
      </c>
      <c r="D17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71" t="s">
        <v>52</v>
      </c>
      <c r="F171">
        <v>4</v>
      </c>
      <c r="G171" t="s">
        <v>87</v>
      </c>
      <c r="H171" t="s">
        <v>82</v>
      </c>
      <c r="I171">
        <v>84</v>
      </c>
      <c r="J171" t="s">
        <v>53</v>
      </c>
      <c r="K171" t="s">
        <v>47</v>
      </c>
      <c r="L171" t="s">
        <v>14</v>
      </c>
      <c r="M171">
        <v>141</v>
      </c>
      <c r="N171">
        <v>149.46</v>
      </c>
      <c r="O171">
        <f>Base_ventes[[#This Row],[BD_2.SELLING PRICE]]*Base_ventes[[#This Row],[QUANTITY]]</f>
        <v>597.84</v>
      </c>
      <c r="P171">
        <f>Base_ventes[[#This Row],[BD_2.BUYING PRIZE]]*Base_ventes[[#This Row],[QUANTITY]]</f>
        <v>564</v>
      </c>
      <c r="Q171">
        <f>Base_ventes[[#This Row],[Montant Vendu]]-Base_ventes[[#This Row],[Montant Acheté]]</f>
        <v>33.840000000000032</v>
      </c>
    </row>
    <row r="172" spans="1:17" x14ac:dyDescent="0.3">
      <c r="A172" s="1">
        <v>44421</v>
      </c>
      <c r="B172">
        <f>YEAR(Base_ventes[[#This Row],[DATE]])</f>
        <v>2021</v>
      </c>
      <c r="C172">
        <f>MONTH(Base_ventes[[#This Row],[DATE]])</f>
        <v>8</v>
      </c>
      <c r="D17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72" t="s">
        <v>27</v>
      </c>
      <c r="F172">
        <v>13</v>
      </c>
      <c r="G172" t="s">
        <v>87</v>
      </c>
      <c r="H172" t="s">
        <v>82</v>
      </c>
      <c r="I172">
        <v>68</v>
      </c>
      <c r="J172" t="s">
        <v>28</v>
      </c>
      <c r="K172" t="s">
        <v>26</v>
      </c>
      <c r="L172" t="s">
        <v>11</v>
      </c>
      <c r="M172">
        <v>44</v>
      </c>
      <c r="N172">
        <v>48.4</v>
      </c>
      <c r="O172">
        <f>Base_ventes[[#This Row],[BD_2.SELLING PRICE]]*Base_ventes[[#This Row],[QUANTITY]]</f>
        <v>629.19999999999993</v>
      </c>
      <c r="P172">
        <f>Base_ventes[[#This Row],[BD_2.BUYING PRIZE]]*Base_ventes[[#This Row],[QUANTITY]]</f>
        <v>572</v>
      </c>
      <c r="Q172">
        <f>Base_ventes[[#This Row],[Montant Vendu]]-Base_ventes[[#This Row],[Montant Acheté]]</f>
        <v>57.199999999999932</v>
      </c>
    </row>
    <row r="173" spans="1:17" x14ac:dyDescent="0.3">
      <c r="A173" s="1">
        <v>44421</v>
      </c>
      <c r="B173">
        <f>YEAR(Base_ventes[[#This Row],[DATE]])</f>
        <v>2021</v>
      </c>
      <c r="C173">
        <f>MONTH(Base_ventes[[#This Row],[DATE]])</f>
        <v>8</v>
      </c>
      <c r="D17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73" t="s">
        <v>61</v>
      </c>
      <c r="F173">
        <v>9</v>
      </c>
      <c r="G173" t="s">
        <v>87</v>
      </c>
      <c r="H173" t="s">
        <v>82</v>
      </c>
      <c r="I173">
        <v>76</v>
      </c>
      <c r="J173" t="s">
        <v>62</v>
      </c>
      <c r="K173" t="s">
        <v>60</v>
      </c>
      <c r="L173" t="s">
        <v>11</v>
      </c>
      <c r="M173">
        <v>48</v>
      </c>
      <c r="N173">
        <v>57.120000000000005</v>
      </c>
      <c r="O173">
        <f>Base_ventes[[#This Row],[BD_2.SELLING PRICE]]*Base_ventes[[#This Row],[QUANTITY]]</f>
        <v>514.08000000000004</v>
      </c>
      <c r="P173">
        <f>Base_ventes[[#This Row],[BD_2.BUYING PRIZE]]*Base_ventes[[#This Row],[QUANTITY]]</f>
        <v>432</v>
      </c>
      <c r="Q173">
        <f>Base_ventes[[#This Row],[Montant Vendu]]-Base_ventes[[#This Row],[Montant Acheté]]</f>
        <v>82.080000000000041</v>
      </c>
    </row>
    <row r="174" spans="1:17" x14ac:dyDescent="0.3">
      <c r="A174" s="1">
        <v>44424</v>
      </c>
      <c r="B174">
        <f>YEAR(Base_ventes[[#This Row],[DATE]])</f>
        <v>2021</v>
      </c>
      <c r="C174">
        <f>MONTH(Base_ventes[[#This Row],[DATE]])</f>
        <v>8</v>
      </c>
      <c r="D17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74" t="s">
        <v>7</v>
      </c>
      <c r="F174">
        <v>3</v>
      </c>
      <c r="G174" t="s">
        <v>82</v>
      </c>
      <c r="H174" t="s">
        <v>82</v>
      </c>
      <c r="I174">
        <v>67</v>
      </c>
      <c r="J174" t="s">
        <v>8</v>
      </c>
      <c r="K174" t="s">
        <v>3</v>
      </c>
      <c r="L174" t="s">
        <v>4</v>
      </c>
      <c r="M174">
        <v>71</v>
      </c>
      <c r="N174">
        <v>80.94</v>
      </c>
      <c r="O174">
        <f>Base_ventes[[#This Row],[BD_2.SELLING PRICE]]*Base_ventes[[#This Row],[QUANTITY]]</f>
        <v>242.82</v>
      </c>
      <c r="P174">
        <f>Base_ventes[[#This Row],[BD_2.BUYING PRIZE]]*Base_ventes[[#This Row],[QUANTITY]]</f>
        <v>213</v>
      </c>
      <c r="Q174">
        <f>Base_ventes[[#This Row],[Montant Vendu]]-Base_ventes[[#This Row],[Montant Acheté]]</f>
        <v>29.819999999999993</v>
      </c>
    </row>
    <row r="175" spans="1:17" x14ac:dyDescent="0.3">
      <c r="A175" s="1">
        <v>44426</v>
      </c>
      <c r="B175">
        <f>YEAR(Base_ventes[[#This Row],[DATE]])</f>
        <v>2021</v>
      </c>
      <c r="C175">
        <f>MONTH(Base_ventes[[#This Row],[DATE]])</f>
        <v>8</v>
      </c>
      <c r="D17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75" t="s">
        <v>56</v>
      </c>
      <c r="F175">
        <v>6</v>
      </c>
      <c r="G175" t="s">
        <v>87</v>
      </c>
      <c r="H175" t="s">
        <v>82</v>
      </c>
      <c r="I175">
        <v>33</v>
      </c>
      <c r="J175" t="s">
        <v>57</v>
      </c>
      <c r="K175" t="s">
        <v>47</v>
      </c>
      <c r="L175" t="s">
        <v>23</v>
      </c>
      <c r="M175">
        <v>7</v>
      </c>
      <c r="N175">
        <v>8.33</v>
      </c>
      <c r="O175">
        <f>Base_ventes[[#This Row],[BD_2.SELLING PRICE]]*Base_ventes[[#This Row],[QUANTITY]]</f>
        <v>49.980000000000004</v>
      </c>
      <c r="P175">
        <f>Base_ventes[[#This Row],[BD_2.BUYING PRIZE]]*Base_ventes[[#This Row],[QUANTITY]]</f>
        <v>42</v>
      </c>
      <c r="Q175">
        <f>Base_ventes[[#This Row],[Montant Vendu]]-Base_ventes[[#This Row],[Montant Acheté]]</f>
        <v>7.980000000000004</v>
      </c>
    </row>
    <row r="176" spans="1:17" x14ac:dyDescent="0.3">
      <c r="A176" s="1">
        <v>44428</v>
      </c>
      <c r="B176">
        <f>YEAR(Base_ventes[[#This Row],[DATE]])</f>
        <v>2021</v>
      </c>
      <c r="C176">
        <f>MONTH(Base_ventes[[#This Row],[DATE]])</f>
        <v>8</v>
      </c>
      <c r="D17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76" t="s">
        <v>45</v>
      </c>
      <c r="F176">
        <v>15</v>
      </c>
      <c r="G176" t="s">
        <v>87</v>
      </c>
      <c r="H176" t="s">
        <v>84</v>
      </c>
      <c r="I176">
        <v>23</v>
      </c>
      <c r="J176" t="s">
        <v>46</v>
      </c>
      <c r="K176" t="s">
        <v>47</v>
      </c>
      <c r="L176" t="s">
        <v>11</v>
      </c>
      <c r="M176">
        <v>61</v>
      </c>
      <c r="N176">
        <v>76.25</v>
      </c>
      <c r="O176">
        <f>Base_ventes[[#This Row],[BD_2.SELLING PRICE]]*Base_ventes[[#This Row],[QUANTITY]]</f>
        <v>1143.75</v>
      </c>
      <c r="P176">
        <f>Base_ventes[[#This Row],[BD_2.BUYING PRIZE]]*Base_ventes[[#This Row],[QUANTITY]]</f>
        <v>915</v>
      </c>
      <c r="Q176">
        <f>Base_ventes[[#This Row],[Montant Vendu]]-Base_ventes[[#This Row],[Montant Acheté]]</f>
        <v>228.75</v>
      </c>
    </row>
    <row r="177" spans="1:17" x14ac:dyDescent="0.3">
      <c r="A177" s="1">
        <v>44428</v>
      </c>
      <c r="B177">
        <f>YEAR(Base_ventes[[#This Row],[DATE]])</f>
        <v>2021</v>
      </c>
      <c r="C177">
        <f>MONTH(Base_ventes[[#This Row],[DATE]])</f>
        <v>8</v>
      </c>
      <c r="D17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77" t="s">
        <v>69</v>
      </c>
      <c r="F177">
        <v>9</v>
      </c>
      <c r="G177" t="s">
        <v>87</v>
      </c>
      <c r="H177" t="s">
        <v>82</v>
      </c>
      <c r="I177">
        <v>37</v>
      </c>
      <c r="J177" t="s">
        <v>70</v>
      </c>
      <c r="K177" t="s">
        <v>60</v>
      </c>
      <c r="L177" t="s">
        <v>4</v>
      </c>
      <c r="M177">
        <v>93</v>
      </c>
      <c r="N177">
        <v>104.16</v>
      </c>
      <c r="O177">
        <f>Base_ventes[[#This Row],[BD_2.SELLING PRICE]]*Base_ventes[[#This Row],[QUANTITY]]</f>
        <v>937.43999999999994</v>
      </c>
      <c r="P177">
        <f>Base_ventes[[#This Row],[BD_2.BUYING PRIZE]]*Base_ventes[[#This Row],[QUANTITY]]</f>
        <v>837</v>
      </c>
      <c r="Q177">
        <f>Base_ventes[[#This Row],[Montant Vendu]]-Base_ventes[[#This Row],[Montant Acheté]]</f>
        <v>100.43999999999994</v>
      </c>
    </row>
    <row r="178" spans="1:17" x14ac:dyDescent="0.3">
      <c r="A178" s="1">
        <v>44428</v>
      </c>
      <c r="B178">
        <f>YEAR(Base_ventes[[#This Row],[DATE]])</f>
        <v>2021</v>
      </c>
      <c r="C178">
        <f>MONTH(Base_ventes[[#This Row],[DATE]])</f>
        <v>8</v>
      </c>
      <c r="D17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78" t="s">
        <v>63</v>
      </c>
      <c r="F178">
        <v>13</v>
      </c>
      <c r="G178" t="s">
        <v>87</v>
      </c>
      <c r="H178" t="s">
        <v>82</v>
      </c>
      <c r="I178">
        <v>63</v>
      </c>
      <c r="J178" t="s">
        <v>64</v>
      </c>
      <c r="K178" t="s">
        <v>60</v>
      </c>
      <c r="L178" t="s">
        <v>23</v>
      </c>
      <c r="M178">
        <v>37</v>
      </c>
      <c r="N178">
        <v>41.81</v>
      </c>
      <c r="O178">
        <f>Base_ventes[[#This Row],[BD_2.SELLING PRICE]]*Base_ventes[[#This Row],[QUANTITY]]</f>
        <v>543.53</v>
      </c>
      <c r="P178">
        <f>Base_ventes[[#This Row],[BD_2.BUYING PRIZE]]*Base_ventes[[#This Row],[QUANTITY]]</f>
        <v>481</v>
      </c>
      <c r="Q178">
        <f>Base_ventes[[#This Row],[Montant Vendu]]-Base_ventes[[#This Row],[Montant Acheté]]</f>
        <v>62.529999999999973</v>
      </c>
    </row>
    <row r="179" spans="1:17" x14ac:dyDescent="0.3">
      <c r="A179" s="1">
        <v>44434</v>
      </c>
      <c r="B179">
        <f>YEAR(Base_ventes[[#This Row],[DATE]])</f>
        <v>2021</v>
      </c>
      <c r="C179">
        <f>MONTH(Base_ventes[[#This Row],[DATE]])</f>
        <v>8</v>
      </c>
      <c r="D17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79" t="s">
        <v>100</v>
      </c>
      <c r="F179">
        <v>4</v>
      </c>
      <c r="G179" t="s">
        <v>87</v>
      </c>
      <c r="H179" t="s">
        <v>82</v>
      </c>
      <c r="I179">
        <v>53</v>
      </c>
      <c r="J179" t="s">
        <v>101</v>
      </c>
      <c r="K179" t="s">
        <v>86</v>
      </c>
      <c r="L179" t="s">
        <v>23</v>
      </c>
      <c r="M179">
        <v>37</v>
      </c>
      <c r="N179">
        <v>42.55</v>
      </c>
      <c r="O179">
        <f>Base_ventes[[#This Row],[BD_2.SELLING PRICE]]*Base_ventes[[#This Row],[QUANTITY]]</f>
        <v>170.2</v>
      </c>
      <c r="P179">
        <f>Base_ventes[[#This Row],[BD_2.BUYING PRIZE]]*Base_ventes[[#This Row],[QUANTITY]]</f>
        <v>148</v>
      </c>
      <c r="Q179">
        <f>Base_ventes[[#This Row],[Montant Vendu]]-Base_ventes[[#This Row],[Montant Acheté]]</f>
        <v>22.199999999999989</v>
      </c>
    </row>
    <row r="180" spans="1:17" x14ac:dyDescent="0.3">
      <c r="A180" s="1">
        <v>44437</v>
      </c>
      <c r="B180">
        <f>YEAR(Base_ventes[[#This Row],[DATE]])</f>
        <v>2021</v>
      </c>
      <c r="C180">
        <f>MONTH(Base_ventes[[#This Row],[DATE]])</f>
        <v>8</v>
      </c>
      <c r="D18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80" t="s">
        <v>94</v>
      </c>
      <c r="F180">
        <v>12</v>
      </c>
      <c r="G180" t="s">
        <v>81</v>
      </c>
      <c r="H180" t="s">
        <v>82</v>
      </c>
      <c r="I180">
        <v>16</v>
      </c>
      <c r="J180" t="s">
        <v>95</v>
      </c>
      <c r="K180" t="s">
        <v>60</v>
      </c>
      <c r="L180" t="s">
        <v>11</v>
      </c>
      <c r="M180">
        <v>55</v>
      </c>
      <c r="N180">
        <v>58.3</v>
      </c>
      <c r="O180">
        <f>Base_ventes[[#This Row],[BD_2.SELLING PRICE]]*Base_ventes[[#This Row],[QUANTITY]]</f>
        <v>699.59999999999991</v>
      </c>
      <c r="P180">
        <f>Base_ventes[[#This Row],[BD_2.BUYING PRIZE]]*Base_ventes[[#This Row],[QUANTITY]]</f>
        <v>660</v>
      </c>
      <c r="Q180">
        <f>Base_ventes[[#This Row],[Montant Vendu]]-Base_ventes[[#This Row],[Montant Acheté]]</f>
        <v>39.599999999999909</v>
      </c>
    </row>
    <row r="181" spans="1:17" x14ac:dyDescent="0.3">
      <c r="A181" s="1">
        <v>44438</v>
      </c>
      <c r="B181">
        <f>YEAR(Base_ventes[[#This Row],[DATE]])</f>
        <v>2021</v>
      </c>
      <c r="C181">
        <f>MONTH(Base_ventes[[#This Row],[DATE]])</f>
        <v>8</v>
      </c>
      <c r="D18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81" t="s">
        <v>31</v>
      </c>
      <c r="F181">
        <v>13</v>
      </c>
      <c r="G181" t="s">
        <v>87</v>
      </c>
      <c r="H181" t="s">
        <v>82</v>
      </c>
      <c r="I181">
        <v>85</v>
      </c>
      <c r="J181" t="s">
        <v>32</v>
      </c>
      <c r="K181" t="s">
        <v>26</v>
      </c>
      <c r="L181" t="s">
        <v>4</v>
      </c>
      <c r="M181">
        <v>112</v>
      </c>
      <c r="N181">
        <v>122.08</v>
      </c>
      <c r="O181">
        <f>Base_ventes[[#This Row],[BD_2.SELLING PRICE]]*Base_ventes[[#This Row],[QUANTITY]]</f>
        <v>1587.04</v>
      </c>
      <c r="P181">
        <f>Base_ventes[[#This Row],[BD_2.BUYING PRIZE]]*Base_ventes[[#This Row],[QUANTITY]]</f>
        <v>1456</v>
      </c>
      <c r="Q181">
        <f>Base_ventes[[#This Row],[Montant Vendu]]-Base_ventes[[#This Row],[Montant Acheté]]</f>
        <v>131.03999999999996</v>
      </c>
    </row>
    <row r="182" spans="1:17" x14ac:dyDescent="0.3">
      <c r="A182" s="1">
        <v>44439</v>
      </c>
      <c r="B182">
        <f>YEAR(Base_ventes[[#This Row],[DATE]])</f>
        <v>2021</v>
      </c>
      <c r="C182">
        <f>MONTH(Base_ventes[[#This Row],[DATE]])</f>
        <v>8</v>
      </c>
      <c r="D18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82" t="s">
        <v>1</v>
      </c>
      <c r="F182">
        <v>2</v>
      </c>
      <c r="G182" t="s">
        <v>87</v>
      </c>
      <c r="H182" t="s">
        <v>82</v>
      </c>
      <c r="I182">
        <v>46</v>
      </c>
      <c r="J182" t="s">
        <v>2</v>
      </c>
      <c r="K182" t="s">
        <v>3</v>
      </c>
      <c r="L182" t="s">
        <v>4</v>
      </c>
      <c r="M182">
        <v>98</v>
      </c>
      <c r="N182">
        <v>103.88</v>
      </c>
      <c r="O182">
        <f>Base_ventes[[#This Row],[BD_2.SELLING PRICE]]*Base_ventes[[#This Row],[QUANTITY]]</f>
        <v>207.76</v>
      </c>
      <c r="P182">
        <f>Base_ventes[[#This Row],[BD_2.BUYING PRIZE]]*Base_ventes[[#This Row],[QUANTITY]]</f>
        <v>196</v>
      </c>
      <c r="Q182">
        <f>Base_ventes[[#This Row],[Montant Vendu]]-Base_ventes[[#This Row],[Montant Acheté]]</f>
        <v>11.759999999999991</v>
      </c>
    </row>
    <row r="183" spans="1:17" x14ac:dyDescent="0.3">
      <c r="A183" s="1">
        <v>44439</v>
      </c>
      <c r="B183">
        <f>YEAR(Base_ventes[[#This Row],[DATE]])</f>
        <v>2021</v>
      </c>
      <c r="C183">
        <f>MONTH(Base_ventes[[#This Row],[DATE]])</f>
        <v>8</v>
      </c>
      <c r="D18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183" t="s">
        <v>88</v>
      </c>
      <c r="F183">
        <v>11</v>
      </c>
      <c r="G183" t="s">
        <v>87</v>
      </c>
      <c r="H183" t="s">
        <v>82</v>
      </c>
      <c r="I183">
        <v>88</v>
      </c>
      <c r="J183" t="s">
        <v>89</v>
      </c>
      <c r="K183" t="s">
        <v>60</v>
      </c>
      <c r="L183" t="s">
        <v>23</v>
      </c>
      <c r="M183">
        <v>5</v>
      </c>
      <c r="N183">
        <v>6.7</v>
      </c>
      <c r="O183">
        <f>Base_ventes[[#This Row],[BD_2.SELLING PRICE]]*Base_ventes[[#This Row],[QUANTITY]]</f>
        <v>73.7</v>
      </c>
      <c r="P183">
        <f>Base_ventes[[#This Row],[BD_2.BUYING PRIZE]]*Base_ventes[[#This Row],[QUANTITY]]</f>
        <v>55</v>
      </c>
      <c r="Q183">
        <f>Base_ventes[[#This Row],[Montant Vendu]]-Base_ventes[[#This Row],[Montant Acheté]]</f>
        <v>18.700000000000003</v>
      </c>
    </row>
    <row r="184" spans="1:17" x14ac:dyDescent="0.3">
      <c r="A184" s="1">
        <v>44440</v>
      </c>
      <c r="B184">
        <f>YEAR(Base_ventes[[#This Row],[DATE]])</f>
        <v>2021</v>
      </c>
      <c r="C184">
        <f>MONTH(Base_ventes[[#This Row],[DATE]])</f>
        <v>9</v>
      </c>
      <c r="D18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184" t="s">
        <v>54</v>
      </c>
      <c r="F184">
        <v>1</v>
      </c>
      <c r="G184" t="s">
        <v>81</v>
      </c>
      <c r="H184" t="s">
        <v>84</v>
      </c>
      <c r="I184">
        <v>34</v>
      </c>
      <c r="J184" t="s">
        <v>55</v>
      </c>
      <c r="K184" t="s">
        <v>47</v>
      </c>
      <c r="L184" t="s">
        <v>14</v>
      </c>
      <c r="M184">
        <v>144</v>
      </c>
      <c r="N184">
        <v>156.96</v>
      </c>
      <c r="O184">
        <f>Base_ventes[[#This Row],[BD_2.SELLING PRICE]]*Base_ventes[[#This Row],[QUANTITY]]</f>
        <v>156.96</v>
      </c>
      <c r="P184">
        <f>Base_ventes[[#This Row],[BD_2.BUYING PRIZE]]*Base_ventes[[#This Row],[QUANTITY]]</f>
        <v>144</v>
      </c>
      <c r="Q184">
        <f>Base_ventes[[#This Row],[Montant Vendu]]-Base_ventes[[#This Row],[Montant Acheté]]</f>
        <v>12.960000000000008</v>
      </c>
    </row>
    <row r="185" spans="1:17" x14ac:dyDescent="0.3">
      <c r="A185" s="1">
        <v>44440</v>
      </c>
      <c r="B185">
        <f>YEAR(Base_ventes[[#This Row],[DATE]])</f>
        <v>2021</v>
      </c>
      <c r="C185">
        <f>MONTH(Base_ventes[[#This Row],[DATE]])</f>
        <v>9</v>
      </c>
      <c r="D18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185" t="s">
        <v>7</v>
      </c>
      <c r="F185">
        <v>14</v>
      </c>
      <c r="G185" t="s">
        <v>82</v>
      </c>
      <c r="H185" t="s">
        <v>82</v>
      </c>
      <c r="I185">
        <v>1</v>
      </c>
      <c r="J185" t="s">
        <v>8</v>
      </c>
      <c r="K185" t="s">
        <v>3</v>
      </c>
      <c r="L185" t="s">
        <v>4</v>
      </c>
      <c r="M185">
        <v>71</v>
      </c>
      <c r="N185">
        <v>80.94</v>
      </c>
      <c r="O185">
        <f>Base_ventes[[#This Row],[BD_2.SELLING PRICE]]*Base_ventes[[#This Row],[QUANTITY]]</f>
        <v>1133.1599999999999</v>
      </c>
      <c r="P185">
        <f>Base_ventes[[#This Row],[BD_2.BUYING PRIZE]]*Base_ventes[[#This Row],[QUANTITY]]</f>
        <v>994</v>
      </c>
      <c r="Q185">
        <f>Base_ventes[[#This Row],[Montant Vendu]]-Base_ventes[[#This Row],[Montant Acheté]]</f>
        <v>139.15999999999985</v>
      </c>
    </row>
    <row r="186" spans="1:17" x14ac:dyDescent="0.3">
      <c r="A186" s="1">
        <v>44442</v>
      </c>
      <c r="B186">
        <f>YEAR(Base_ventes[[#This Row],[DATE]])</f>
        <v>2021</v>
      </c>
      <c r="C186">
        <f>MONTH(Base_ventes[[#This Row],[DATE]])</f>
        <v>9</v>
      </c>
      <c r="D18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186" t="s">
        <v>104</v>
      </c>
      <c r="F186">
        <v>8</v>
      </c>
      <c r="G186" t="s">
        <v>87</v>
      </c>
      <c r="H186" t="s">
        <v>82</v>
      </c>
      <c r="I186">
        <v>33</v>
      </c>
      <c r="J186" t="s">
        <v>105</v>
      </c>
      <c r="K186" t="s">
        <v>86</v>
      </c>
      <c r="L186" t="s">
        <v>14</v>
      </c>
      <c r="M186">
        <v>138</v>
      </c>
      <c r="N186">
        <v>173.88</v>
      </c>
      <c r="O186">
        <f>Base_ventes[[#This Row],[BD_2.SELLING PRICE]]*Base_ventes[[#This Row],[QUANTITY]]</f>
        <v>1391.04</v>
      </c>
      <c r="P186">
        <f>Base_ventes[[#This Row],[BD_2.BUYING PRIZE]]*Base_ventes[[#This Row],[QUANTITY]]</f>
        <v>1104</v>
      </c>
      <c r="Q186">
        <f>Base_ventes[[#This Row],[Montant Vendu]]-Base_ventes[[#This Row],[Montant Acheté]]</f>
        <v>287.03999999999996</v>
      </c>
    </row>
    <row r="187" spans="1:17" x14ac:dyDescent="0.3">
      <c r="A187" s="1">
        <v>44443</v>
      </c>
      <c r="B187">
        <f>YEAR(Base_ventes[[#This Row],[DATE]])</f>
        <v>2021</v>
      </c>
      <c r="C187">
        <f>MONTH(Base_ventes[[#This Row],[DATE]])</f>
        <v>9</v>
      </c>
      <c r="D18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187" t="s">
        <v>63</v>
      </c>
      <c r="F187">
        <v>7</v>
      </c>
      <c r="G187" t="s">
        <v>87</v>
      </c>
      <c r="H187" t="s">
        <v>82</v>
      </c>
      <c r="I187">
        <v>10</v>
      </c>
      <c r="J187" t="s">
        <v>64</v>
      </c>
      <c r="K187" t="s">
        <v>60</v>
      </c>
      <c r="L187" t="s">
        <v>23</v>
      </c>
      <c r="M187">
        <v>37</v>
      </c>
      <c r="N187">
        <v>41.81</v>
      </c>
      <c r="O187">
        <f>Base_ventes[[#This Row],[BD_2.SELLING PRICE]]*Base_ventes[[#This Row],[QUANTITY]]</f>
        <v>292.67</v>
      </c>
      <c r="P187">
        <f>Base_ventes[[#This Row],[BD_2.BUYING PRIZE]]*Base_ventes[[#This Row],[QUANTITY]]</f>
        <v>259</v>
      </c>
      <c r="Q187">
        <f>Base_ventes[[#This Row],[Montant Vendu]]-Base_ventes[[#This Row],[Montant Acheté]]</f>
        <v>33.670000000000016</v>
      </c>
    </row>
    <row r="188" spans="1:17" x14ac:dyDescent="0.3">
      <c r="A188" s="1">
        <v>44443</v>
      </c>
      <c r="B188">
        <f>YEAR(Base_ventes[[#This Row],[DATE]])</f>
        <v>2021</v>
      </c>
      <c r="C188">
        <f>MONTH(Base_ventes[[#This Row],[DATE]])</f>
        <v>9</v>
      </c>
      <c r="D18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188" t="s">
        <v>52</v>
      </c>
      <c r="F188">
        <v>15</v>
      </c>
      <c r="G188" t="s">
        <v>87</v>
      </c>
      <c r="H188" t="s">
        <v>82</v>
      </c>
      <c r="I188">
        <v>65</v>
      </c>
      <c r="J188" t="s">
        <v>53</v>
      </c>
      <c r="K188" t="s">
        <v>47</v>
      </c>
      <c r="L188" t="s">
        <v>14</v>
      </c>
      <c r="M188">
        <v>141</v>
      </c>
      <c r="N188">
        <v>149.46</v>
      </c>
      <c r="O188">
        <f>Base_ventes[[#This Row],[BD_2.SELLING PRICE]]*Base_ventes[[#This Row],[QUANTITY]]</f>
        <v>2241.9</v>
      </c>
      <c r="P188">
        <f>Base_ventes[[#This Row],[BD_2.BUYING PRIZE]]*Base_ventes[[#This Row],[QUANTITY]]</f>
        <v>2115</v>
      </c>
      <c r="Q188">
        <f>Base_ventes[[#This Row],[Montant Vendu]]-Base_ventes[[#This Row],[Montant Acheté]]</f>
        <v>126.90000000000009</v>
      </c>
    </row>
    <row r="189" spans="1:17" x14ac:dyDescent="0.3">
      <c r="A189" s="1">
        <v>44444</v>
      </c>
      <c r="B189">
        <f>YEAR(Base_ventes[[#This Row],[DATE]])</f>
        <v>2021</v>
      </c>
      <c r="C189">
        <f>MONTH(Base_ventes[[#This Row],[DATE]])</f>
        <v>9</v>
      </c>
      <c r="D18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189" t="s">
        <v>90</v>
      </c>
      <c r="F189">
        <v>1</v>
      </c>
      <c r="G189" t="s">
        <v>87</v>
      </c>
      <c r="H189" t="s">
        <v>84</v>
      </c>
      <c r="I189">
        <v>87</v>
      </c>
      <c r="J189" t="s">
        <v>91</v>
      </c>
      <c r="K189" t="s">
        <v>60</v>
      </c>
      <c r="L189" t="s">
        <v>4</v>
      </c>
      <c r="M189">
        <v>89</v>
      </c>
      <c r="N189">
        <v>117.48</v>
      </c>
      <c r="O189">
        <f>Base_ventes[[#This Row],[BD_2.SELLING PRICE]]*Base_ventes[[#This Row],[QUANTITY]]</f>
        <v>117.48</v>
      </c>
      <c r="P189">
        <f>Base_ventes[[#This Row],[BD_2.BUYING PRIZE]]*Base_ventes[[#This Row],[QUANTITY]]</f>
        <v>89</v>
      </c>
      <c r="Q189">
        <f>Base_ventes[[#This Row],[Montant Vendu]]-Base_ventes[[#This Row],[Montant Acheté]]</f>
        <v>28.480000000000004</v>
      </c>
    </row>
    <row r="190" spans="1:17" x14ac:dyDescent="0.3">
      <c r="A190" s="1">
        <v>44446</v>
      </c>
      <c r="B190">
        <f>YEAR(Base_ventes[[#This Row],[DATE]])</f>
        <v>2021</v>
      </c>
      <c r="C190">
        <f>MONTH(Base_ventes[[#This Row],[DATE]])</f>
        <v>9</v>
      </c>
      <c r="D19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190" t="s">
        <v>43</v>
      </c>
      <c r="F190">
        <v>5</v>
      </c>
      <c r="G190" t="s">
        <v>87</v>
      </c>
      <c r="H190" t="s">
        <v>82</v>
      </c>
      <c r="I190">
        <v>85</v>
      </c>
      <c r="J190" t="s">
        <v>44</v>
      </c>
      <c r="K190" t="s">
        <v>26</v>
      </c>
      <c r="L190" t="s">
        <v>14</v>
      </c>
      <c r="M190">
        <v>150</v>
      </c>
      <c r="N190">
        <v>210</v>
      </c>
      <c r="O190">
        <f>Base_ventes[[#This Row],[BD_2.SELLING PRICE]]*Base_ventes[[#This Row],[QUANTITY]]</f>
        <v>1050</v>
      </c>
      <c r="P190">
        <f>Base_ventes[[#This Row],[BD_2.BUYING PRIZE]]*Base_ventes[[#This Row],[QUANTITY]]</f>
        <v>750</v>
      </c>
      <c r="Q190">
        <f>Base_ventes[[#This Row],[Montant Vendu]]-Base_ventes[[#This Row],[Montant Acheté]]</f>
        <v>300</v>
      </c>
    </row>
    <row r="191" spans="1:17" x14ac:dyDescent="0.3">
      <c r="A191" s="1">
        <v>44448</v>
      </c>
      <c r="B191">
        <f>YEAR(Base_ventes[[#This Row],[DATE]])</f>
        <v>2021</v>
      </c>
      <c r="C191">
        <f>MONTH(Base_ventes[[#This Row],[DATE]])</f>
        <v>9</v>
      </c>
      <c r="D19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191" t="s">
        <v>110</v>
      </c>
      <c r="F191">
        <v>4</v>
      </c>
      <c r="G191" t="s">
        <v>87</v>
      </c>
      <c r="H191" t="s">
        <v>82</v>
      </c>
      <c r="I191">
        <v>33</v>
      </c>
      <c r="J191" t="s">
        <v>111</v>
      </c>
      <c r="K191" t="s">
        <v>86</v>
      </c>
      <c r="L191" t="s">
        <v>4</v>
      </c>
      <c r="M191">
        <v>76</v>
      </c>
      <c r="N191">
        <v>82.08</v>
      </c>
      <c r="O191">
        <f>Base_ventes[[#This Row],[BD_2.SELLING PRICE]]*Base_ventes[[#This Row],[QUANTITY]]</f>
        <v>328.32</v>
      </c>
      <c r="P191">
        <f>Base_ventes[[#This Row],[BD_2.BUYING PRIZE]]*Base_ventes[[#This Row],[QUANTITY]]</f>
        <v>304</v>
      </c>
      <c r="Q191">
        <f>Base_ventes[[#This Row],[Montant Vendu]]-Base_ventes[[#This Row],[Montant Acheté]]</f>
        <v>24.319999999999993</v>
      </c>
    </row>
    <row r="192" spans="1:17" x14ac:dyDescent="0.3">
      <c r="A192" s="1">
        <v>44449</v>
      </c>
      <c r="B192">
        <f>YEAR(Base_ventes[[#This Row],[DATE]])</f>
        <v>2021</v>
      </c>
      <c r="C192">
        <f>MONTH(Base_ventes[[#This Row],[DATE]])</f>
        <v>9</v>
      </c>
      <c r="D19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192" t="s">
        <v>67</v>
      </c>
      <c r="F192">
        <v>6</v>
      </c>
      <c r="G192" t="s">
        <v>87</v>
      </c>
      <c r="H192" t="s">
        <v>82</v>
      </c>
      <c r="I192">
        <v>37</v>
      </c>
      <c r="J192" t="s">
        <v>68</v>
      </c>
      <c r="K192" t="s">
        <v>60</v>
      </c>
      <c r="L192" t="s">
        <v>14</v>
      </c>
      <c r="M192">
        <v>148</v>
      </c>
      <c r="N192">
        <v>201.28</v>
      </c>
      <c r="O192">
        <f>Base_ventes[[#This Row],[BD_2.SELLING PRICE]]*Base_ventes[[#This Row],[QUANTITY]]</f>
        <v>1207.68</v>
      </c>
      <c r="P192">
        <f>Base_ventes[[#This Row],[BD_2.BUYING PRIZE]]*Base_ventes[[#This Row],[QUANTITY]]</f>
        <v>888</v>
      </c>
      <c r="Q192">
        <f>Base_ventes[[#This Row],[Montant Vendu]]-Base_ventes[[#This Row],[Montant Acheté]]</f>
        <v>319.68000000000006</v>
      </c>
    </row>
    <row r="193" spans="1:17" x14ac:dyDescent="0.3">
      <c r="A193" s="1">
        <v>44449</v>
      </c>
      <c r="B193">
        <f>YEAR(Base_ventes[[#This Row],[DATE]])</f>
        <v>2021</v>
      </c>
      <c r="C193">
        <f>MONTH(Base_ventes[[#This Row],[DATE]])</f>
        <v>9</v>
      </c>
      <c r="D19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193" t="s">
        <v>1</v>
      </c>
      <c r="F193">
        <v>9</v>
      </c>
      <c r="G193" t="s">
        <v>81</v>
      </c>
      <c r="H193" t="s">
        <v>82</v>
      </c>
      <c r="I193">
        <v>81</v>
      </c>
      <c r="J193" t="s">
        <v>2</v>
      </c>
      <c r="K193" t="s">
        <v>3</v>
      </c>
      <c r="L193" t="s">
        <v>4</v>
      </c>
      <c r="M193">
        <v>98</v>
      </c>
      <c r="N193">
        <v>103.88</v>
      </c>
      <c r="O193">
        <f>Base_ventes[[#This Row],[BD_2.SELLING PRICE]]*Base_ventes[[#This Row],[QUANTITY]]</f>
        <v>934.92</v>
      </c>
      <c r="P193">
        <f>Base_ventes[[#This Row],[BD_2.BUYING PRIZE]]*Base_ventes[[#This Row],[QUANTITY]]</f>
        <v>882</v>
      </c>
      <c r="Q193">
        <f>Base_ventes[[#This Row],[Montant Vendu]]-Base_ventes[[#This Row],[Montant Acheté]]</f>
        <v>52.919999999999959</v>
      </c>
    </row>
    <row r="194" spans="1:17" x14ac:dyDescent="0.3">
      <c r="A194" s="1">
        <v>44449</v>
      </c>
      <c r="B194">
        <f>YEAR(Base_ventes[[#This Row],[DATE]])</f>
        <v>2021</v>
      </c>
      <c r="C194">
        <f>MONTH(Base_ventes[[#This Row],[DATE]])</f>
        <v>9</v>
      </c>
      <c r="D19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194" t="s">
        <v>58</v>
      </c>
      <c r="F194">
        <v>2</v>
      </c>
      <c r="G194" t="s">
        <v>87</v>
      </c>
      <c r="H194" t="s">
        <v>82</v>
      </c>
      <c r="I194">
        <v>20</v>
      </c>
      <c r="J194" t="s">
        <v>59</v>
      </c>
      <c r="K194" t="s">
        <v>60</v>
      </c>
      <c r="L194" t="s">
        <v>23</v>
      </c>
      <c r="M194">
        <v>18</v>
      </c>
      <c r="N194">
        <v>24.66</v>
      </c>
      <c r="O194">
        <f>Base_ventes[[#This Row],[BD_2.SELLING PRICE]]*Base_ventes[[#This Row],[QUANTITY]]</f>
        <v>49.32</v>
      </c>
      <c r="P194">
        <f>Base_ventes[[#This Row],[BD_2.BUYING PRIZE]]*Base_ventes[[#This Row],[QUANTITY]]</f>
        <v>36</v>
      </c>
      <c r="Q194">
        <f>Base_ventes[[#This Row],[Montant Vendu]]-Base_ventes[[#This Row],[Montant Acheté]]</f>
        <v>13.32</v>
      </c>
    </row>
    <row r="195" spans="1:17" x14ac:dyDescent="0.3">
      <c r="A195" s="1">
        <v>44450</v>
      </c>
      <c r="B195">
        <f>YEAR(Base_ventes[[#This Row],[DATE]])</f>
        <v>2021</v>
      </c>
      <c r="C195">
        <f>MONTH(Base_ventes[[#This Row],[DATE]])</f>
        <v>9</v>
      </c>
      <c r="D19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195" t="s">
        <v>1</v>
      </c>
      <c r="F195">
        <v>6</v>
      </c>
      <c r="G195" t="s">
        <v>81</v>
      </c>
      <c r="H195" t="s">
        <v>82</v>
      </c>
      <c r="I195">
        <v>83</v>
      </c>
      <c r="J195" t="s">
        <v>2</v>
      </c>
      <c r="K195" t="s">
        <v>3</v>
      </c>
      <c r="L195" t="s">
        <v>4</v>
      </c>
      <c r="M195">
        <v>98</v>
      </c>
      <c r="N195">
        <v>103.88</v>
      </c>
      <c r="O195">
        <f>Base_ventes[[#This Row],[BD_2.SELLING PRICE]]*Base_ventes[[#This Row],[QUANTITY]]</f>
        <v>623.28</v>
      </c>
      <c r="P195">
        <f>Base_ventes[[#This Row],[BD_2.BUYING PRIZE]]*Base_ventes[[#This Row],[QUANTITY]]</f>
        <v>588</v>
      </c>
      <c r="Q195">
        <f>Base_ventes[[#This Row],[Montant Vendu]]-Base_ventes[[#This Row],[Montant Acheté]]</f>
        <v>35.279999999999973</v>
      </c>
    </row>
    <row r="196" spans="1:17" x14ac:dyDescent="0.3">
      <c r="A196" s="1">
        <v>44452</v>
      </c>
      <c r="B196">
        <f>YEAR(Base_ventes[[#This Row],[DATE]])</f>
        <v>2021</v>
      </c>
      <c r="C196">
        <f>MONTH(Base_ventes[[#This Row],[DATE]])</f>
        <v>9</v>
      </c>
      <c r="D19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196" t="s">
        <v>104</v>
      </c>
      <c r="F196">
        <v>7</v>
      </c>
      <c r="G196" t="s">
        <v>87</v>
      </c>
      <c r="H196" t="s">
        <v>84</v>
      </c>
      <c r="I196">
        <v>37</v>
      </c>
      <c r="J196" t="s">
        <v>105</v>
      </c>
      <c r="K196" t="s">
        <v>86</v>
      </c>
      <c r="L196" t="s">
        <v>14</v>
      </c>
      <c r="M196">
        <v>138</v>
      </c>
      <c r="N196">
        <v>173.88</v>
      </c>
      <c r="O196">
        <f>Base_ventes[[#This Row],[BD_2.SELLING PRICE]]*Base_ventes[[#This Row],[QUANTITY]]</f>
        <v>1217.1599999999999</v>
      </c>
      <c r="P196">
        <f>Base_ventes[[#This Row],[BD_2.BUYING PRIZE]]*Base_ventes[[#This Row],[QUANTITY]]</f>
        <v>966</v>
      </c>
      <c r="Q196">
        <f>Base_ventes[[#This Row],[Montant Vendu]]-Base_ventes[[#This Row],[Montant Acheté]]</f>
        <v>251.15999999999985</v>
      </c>
    </row>
    <row r="197" spans="1:17" x14ac:dyDescent="0.3">
      <c r="A197" s="1">
        <v>44454</v>
      </c>
      <c r="B197">
        <f>YEAR(Base_ventes[[#This Row],[DATE]])</f>
        <v>2021</v>
      </c>
      <c r="C197">
        <f>MONTH(Base_ventes[[#This Row],[DATE]])</f>
        <v>9</v>
      </c>
      <c r="D19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197" t="s">
        <v>106</v>
      </c>
      <c r="F197">
        <v>6</v>
      </c>
      <c r="G197" t="s">
        <v>87</v>
      </c>
      <c r="H197" t="s">
        <v>82</v>
      </c>
      <c r="I197">
        <v>38</v>
      </c>
      <c r="J197" t="s">
        <v>107</v>
      </c>
      <c r="K197" t="s">
        <v>86</v>
      </c>
      <c r="L197" t="s">
        <v>14</v>
      </c>
      <c r="M197">
        <v>120</v>
      </c>
      <c r="N197">
        <v>162</v>
      </c>
      <c r="O197">
        <f>Base_ventes[[#This Row],[BD_2.SELLING PRICE]]*Base_ventes[[#This Row],[QUANTITY]]</f>
        <v>972</v>
      </c>
      <c r="P197">
        <f>Base_ventes[[#This Row],[BD_2.BUYING PRIZE]]*Base_ventes[[#This Row],[QUANTITY]]</f>
        <v>720</v>
      </c>
      <c r="Q197">
        <f>Base_ventes[[#This Row],[Montant Vendu]]-Base_ventes[[#This Row],[Montant Acheté]]</f>
        <v>252</v>
      </c>
    </row>
    <row r="198" spans="1:17" x14ac:dyDescent="0.3">
      <c r="A198" s="1">
        <v>44454</v>
      </c>
      <c r="B198">
        <f>YEAR(Base_ventes[[#This Row],[DATE]])</f>
        <v>2021</v>
      </c>
      <c r="C198">
        <f>MONTH(Base_ventes[[#This Row],[DATE]])</f>
        <v>9</v>
      </c>
      <c r="D19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198" t="s">
        <v>106</v>
      </c>
      <c r="F198">
        <v>14</v>
      </c>
      <c r="G198" t="s">
        <v>87</v>
      </c>
      <c r="H198" t="s">
        <v>82</v>
      </c>
      <c r="I198">
        <v>20</v>
      </c>
      <c r="J198" t="s">
        <v>107</v>
      </c>
      <c r="K198" t="s">
        <v>86</v>
      </c>
      <c r="L198" t="s">
        <v>14</v>
      </c>
      <c r="M198">
        <v>120</v>
      </c>
      <c r="N198">
        <v>162</v>
      </c>
      <c r="O198">
        <f>Base_ventes[[#This Row],[BD_2.SELLING PRICE]]*Base_ventes[[#This Row],[QUANTITY]]</f>
        <v>2268</v>
      </c>
      <c r="P198">
        <f>Base_ventes[[#This Row],[BD_2.BUYING PRIZE]]*Base_ventes[[#This Row],[QUANTITY]]</f>
        <v>1680</v>
      </c>
      <c r="Q198">
        <f>Base_ventes[[#This Row],[Montant Vendu]]-Base_ventes[[#This Row],[Montant Acheté]]</f>
        <v>588</v>
      </c>
    </row>
    <row r="199" spans="1:17" x14ac:dyDescent="0.3">
      <c r="A199" s="1">
        <v>44460</v>
      </c>
      <c r="B199">
        <f>YEAR(Base_ventes[[#This Row],[DATE]])</f>
        <v>2021</v>
      </c>
      <c r="C199">
        <f>MONTH(Base_ventes[[#This Row],[DATE]])</f>
        <v>9</v>
      </c>
      <c r="D19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199" t="s">
        <v>45</v>
      </c>
      <c r="F199">
        <v>7</v>
      </c>
      <c r="G199" t="s">
        <v>81</v>
      </c>
      <c r="H199" t="s">
        <v>84</v>
      </c>
      <c r="I199">
        <v>71</v>
      </c>
      <c r="J199" t="s">
        <v>46</v>
      </c>
      <c r="K199" t="s">
        <v>47</v>
      </c>
      <c r="L199" t="s">
        <v>11</v>
      </c>
      <c r="M199">
        <v>61</v>
      </c>
      <c r="N199">
        <v>76.25</v>
      </c>
      <c r="O199">
        <f>Base_ventes[[#This Row],[BD_2.SELLING PRICE]]*Base_ventes[[#This Row],[QUANTITY]]</f>
        <v>533.75</v>
      </c>
      <c r="P199">
        <f>Base_ventes[[#This Row],[BD_2.BUYING PRIZE]]*Base_ventes[[#This Row],[QUANTITY]]</f>
        <v>427</v>
      </c>
      <c r="Q199">
        <f>Base_ventes[[#This Row],[Montant Vendu]]-Base_ventes[[#This Row],[Montant Acheté]]</f>
        <v>106.75</v>
      </c>
    </row>
    <row r="200" spans="1:17" x14ac:dyDescent="0.3">
      <c r="A200" s="1">
        <v>44461</v>
      </c>
      <c r="B200">
        <f>YEAR(Base_ventes[[#This Row],[DATE]])</f>
        <v>2021</v>
      </c>
      <c r="C200">
        <f>MONTH(Base_ventes[[#This Row],[DATE]])</f>
        <v>9</v>
      </c>
      <c r="D20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200" t="s">
        <v>102</v>
      </c>
      <c r="F200">
        <v>2</v>
      </c>
      <c r="G200" t="s">
        <v>82</v>
      </c>
      <c r="H200" t="s">
        <v>84</v>
      </c>
      <c r="I200">
        <v>17</v>
      </c>
      <c r="J200" t="s">
        <v>103</v>
      </c>
      <c r="K200" t="s">
        <v>86</v>
      </c>
      <c r="L200" t="s">
        <v>4</v>
      </c>
      <c r="M200">
        <v>90</v>
      </c>
      <c r="N200">
        <v>115.2</v>
      </c>
      <c r="O200">
        <f>Base_ventes[[#This Row],[BD_2.SELLING PRICE]]*Base_ventes[[#This Row],[QUANTITY]]</f>
        <v>230.4</v>
      </c>
      <c r="P200">
        <f>Base_ventes[[#This Row],[BD_2.BUYING PRIZE]]*Base_ventes[[#This Row],[QUANTITY]]</f>
        <v>180</v>
      </c>
      <c r="Q200">
        <f>Base_ventes[[#This Row],[Montant Vendu]]-Base_ventes[[#This Row],[Montant Acheté]]</f>
        <v>50.400000000000006</v>
      </c>
    </row>
    <row r="201" spans="1:17" x14ac:dyDescent="0.3">
      <c r="A201" s="1">
        <v>44461</v>
      </c>
      <c r="B201">
        <f>YEAR(Base_ventes[[#This Row],[DATE]])</f>
        <v>2021</v>
      </c>
      <c r="C201">
        <f>MONTH(Base_ventes[[#This Row],[DATE]])</f>
        <v>9</v>
      </c>
      <c r="D20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201" t="s">
        <v>5</v>
      </c>
      <c r="F201">
        <v>4</v>
      </c>
      <c r="G201" t="s">
        <v>87</v>
      </c>
      <c r="H201" t="s">
        <v>84</v>
      </c>
      <c r="I201">
        <v>62</v>
      </c>
      <c r="J201" t="s">
        <v>6</v>
      </c>
      <c r="K201" t="s">
        <v>3</v>
      </c>
      <c r="L201" t="s">
        <v>4</v>
      </c>
      <c r="M201">
        <v>105</v>
      </c>
      <c r="N201">
        <v>142.80000000000001</v>
      </c>
      <c r="O201">
        <f>Base_ventes[[#This Row],[BD_2.SELLING PRICE]]*Base_ventes[[#This Row],[QUANTITY]]</f>
        <v>571.20000000000005</v>
      </c>
      <c r="P201">
        <f>Base_ventes[[#This Row],[BD_2.BUYING PRIZE]]*Base_ventes[[#This Row],[QUANTITY]]</f>
        <v>420</v>
      </c>
      <c r="Q201">
        <f>Base_ventes[[#This Row],[Montant Vendu]]-Base_ventes[[#This Row],[Montant Acheté]]</f>
        <v>151.20000000000005</v>
      </c>
    </row>
    <row r="202" spans="1:17" x14ac:dyDescent="0.3">
      <c r="A202" s="1">
        <v>44462</v>
      </c>
      <c r="B202">
        <f>YEAR(Base_ventes[[#This Row],[DATE]])</f>
        <v>2021</v>
      </c>
      <c r="C202">
        <f>MONTH(Base_ventes[[#This Row],[DATE]])</f>
        <v>9</v>
      </c>
      <c r="D20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202" t="s">
        <v>41</v>
      </c>
      <c r="F202">
        <v>12</v>
      </c>
      <c r="G202" t="s">
        <v>87</v>
      </c>
      <c r="H202" t="s">
        <v>84</v>
      </c>
      <c r="I202">
        <v>63</v>
      </c>
      <c r="J202" t="s">
        <v>42</v>
      </c>
      <c r="K202" t="s">
        <v>26</v>
      </c>
      <c r="L202" t="s">
        <v>23</v>
      </c>
      <c r="M202">
        <v>37</v>
      </c>
      <c r="N202">
        <v>49.21</v>
      </c>
      <c r="O202">
        <f>Base_ventes[[#This Row],[BD_2.SELLING PRICE]]*Base_ventes[[#This Row],[QUANTITY]]</f>
        <v>590.52</v>
      </c>
      <c r="P202">
        <f>Base_ventes[[#This Row],[BD_2.BUYING PRIZE]]*Base_ventes[[#This Row],[QUANTITY]]</f>
        <v>444</v>
      </c>
      <c r="Q202">
        <f>Base_ventes[[#This Row],[Montant Vendu]]-Base_ventes[[#This Row],[Montant Acheté]]</f>
        <v>146.51999999999998</v>
      </c>
    </row>
    <row r="203" spans="1:17" x14ac:dyDescent="0.3">
      <c r="A203" s="1">
        <v>44462</v>
      </c>
      <c r="B203">
        <f>YEAR(Base_ventes[[#This Row],[DATE]])</f>
        <v>2021</v>
      </c>
      <c r="C203">
        <f>MONTH(Base_ventes[[#This Row],[DATE]])</f>
        <v>9</v>
      </c>
      <c r="D20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203" t="s">
        <v>48</v>
      </c>
      <c r="F203">
        <v>7</v>
      </c>
      <c r="G203" t="s">
        <v>82</v>
      </c>
      <c r="H203" t="s">
        <v>82</v>
      </c>
      <c r="I203">
        <v>6</v>
      </c>
      <c r="J203" t="s">
        <v>49</v>
      </c>
      <c r="K203" t="s">
        <v>47</v>
      </c>
      <c r="L203" t="s">
        <v>14</v>
      </c>
      <c r="M203">
        <v>126</v>
      </c>
      <c r="N203">
        <v>162.54</v>
      </c>
      <c r="O203">
        <f>Base_ventes[[#This Row],[BD_2.SELLING PRICE]]*Base_ventes[[#This Row],[QUANTITY]]</f>
        <v>1137.78</v>
      </c>
      <c r="P203">
        <f>Base_ventes[[#This Row],[BD_2.BUYING PRIZE]]*Base_ventes[[#This Row],[QUANTITY]]</f>
        <v>882</v>
      </c>
      <c r="Q203">
        <f>Base_ventes[[#This Row],[Montant Vendu]]-Base_ventes[[#This Row],[Montant Acheté]]</f>
        <v>255.77999999999997</v>
      </c>
    </row>
    <row r="204" spans="1:17" x14ac:dyDescent="0.3">
      <c r="A204" s="1">
        <v>44466</v>
      </c>
      <c r="B204">
        <f>YEAR(Base_ventes[[#This Row],[DATE]])</f>
        <v>2021</v>
      </c>
      <c r="C204">
        <f>MONTH(Base_ventes[[#This Row],[DATE]])</f>
        <v>9</v>
      </c>
      <c r="D20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204" t="s">
        <v>94</v>
      </c>
      <c r="F204">
        <v>1</v>
      </c>
      <c r="G204" t="s">
        <v>87</v>
      </c>
      <c r="H204" t="s">
        <v>84</v>
      </c>
      <c r="I204">
        <v>11</v>
      </c>
      <c r="J204" t="s">
        <v>95</v>
      </c>
      <c r="K204" t="s">
        <v>60</v>
      </c>
      <c r="L204" t="s">
        <v>11</v>
      </c>
      <c r="M204">
        <v>55</v>
      </c>
      <c r="N204">
        <v>58.3</v>
      </c>
      <c r="O204">
        <f>Base_ventes[[#This Row],[BD_2.SELLING PRICE]]*Base_ventes[[#This Row],[QUANTITY]]</f>
        <v>58.3</v>
      </c>
      <c r="P204">
        <f>Base_ventes[[#This Row],[BD_2.BUYING PRIZE]]*Base_ventes[[#This Row],[QUANTITY]]</f>
        <v>55</v>
      </c>
      <c r="Q204">
        <f>Base_ventes[[#This Row],[Montant Vendu]]-Base_ventes[[#This Row],[Montant Acheté]]</f>
        <v>3.2999999999999972</v>
      </c>
    </row>
    <row r="205" spans="1:17" x14ac:dyDescent="0.3">
      <c r="A205" s="1">
        <v>44469</v>
      </c>
      <c r="B205">
        <f>YEAR(Base_ventes[[#This Row],[DATE]])</f>
        <v>2021</v>
      </c>
      <c r="C205">
        <f>MONTH(Base_ventes[[#This Row],[DATE]])</f>
        <v>9</v>
      </c>
      <c r="D20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205" t="s">
        <v>33</v>
      </c>
      <c r="F205">
        <v>9</v>
      </c>
      <c r="G205" t="s">
        <v>82</v>
      </c>
      <c r="H205" t="s">
        <v>82</v>
      </c>
      <c r="I205">
        <v>49</v>
      </c>
      <c r="J205" t="s">
        <v>34</v>
      </c>
      <c r="K205" t="s">
        <v>26</v>
      </c>
      <c r="L205" t="s">
        <v>4</v>
      </c>
      <c r="M205">
        <v>112</v>
      </c>
      <c r="N205">
        <v>146.72</v>
      </c>
      <c r="O205">
        <f>Base_ventes[[#This Row],[BD_2.SELLING PRICE]]*Base_ventes[[#This Row],[QUANTITY]]</f>
        <v>1320.48</v>
      </c>
      <c r="P205">
        <f>Base_ventes[[#This Row],[BD_2.BUYING PRIZE]]*Base_ventes[[#This Row],[QUANTITY]]</f>
        <v>1008</v>
      </c>
      <c r="Q205">
        <f>Base_ventes[[#This Row],[Montant Vendu]]-Base_ventes[[#This Row],[Montant Acheté]]</f>
        <v>312.48</v>
      </c>
    </row>
    <row r="206" spans="1:17" x14ac:dyDescent="0.3">
      <c r="A206" s="1">
        <v>44469</v>
      </c>
      <c r="B206">
        <f>YEAR(Base_ventes[[#This Row],[DATE]])</f>
        <v>2021</v>
      </c>
      <c r="C206">
        <f>MONTH(Base_ventes[[#This Row],[DATE]])</f>
        <v>9</v>
      </c>
      <c r="D20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206" t="s">
        <v>15</v>
      </c>
      <c r="F206">
        <v>5</v>
      </c>
      <c r="G206" t="s">
        <v>82</v>
      </c>
      <c r="H206" t="s">
        <v>82</v>
      </c>
      <c r="I206">
        <v>61</v>
      </c>
      <c r="J206" t="s">
        <v>16</v>
      </c>
      <c r="K206" t="s">
        <v>3</v>
      </c>
      <c r="L206" t="s">
        <v>4</v>
      </c>
      <c r="M206">
        <v>75</v>
      </c>
      <c r="N206">
        <v>85.5</v>
      </c>
      <c r="O206">
        <f>Base_ventes[[#This Row],[BD_2.SELLING PRICE]]*Base_ventes[[#This Row],[QUANTITY]]</f>
        <v>427.5</v>
      </c>
      <c r="P206">
        <f>Base_ventes[[#This Row],[BD_2.BUYING PRIZE]]*Base_ventes[[#This Row],[QUANTITY]]</f>
        <v>375</v>
      </c>
      <c r="Q206">
        <f>Base_ventes[[#This Row],[Montant Vendu]]-Base_ventes[[#This Row],[Montant Acheté]]</f>
        <v>52.5</v>
      </c>
    </row>
    <row r="207" spans="1:17" x14ac:dyDescent="0.3">
      <c r="A207" s="1">
        <v>44470</v>
      </c>
      <c r="B207">
        <f>YEAR(Base_ventes[[#This Row],[DATE]])</f>
        <v>2021</v>
      </c>
      <c r="C207">
        <f>MONTH(Base_ventes[[#This Row],[DATE]])</f>
        <v>10</v>
      </c>
      <c r="D20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07" t="s">
        <v>67</v>
      </c>
      <c r="F207">
        <v>14</v>
      </c>
      <c r="G207" t="s">
        <v>82</v>
      </c>
      <c r="H207" t="s">
        <v>84</v>
      </c>
      <c r="I207">
        <v>26</v>
      </c>
      <c r="J207" t="s">
        <v>68</v>
      </c>
      <c r="K207" t="s">
        <v>60</v>
      </c>
      <c r="L207" t="s">
        <v>14</v>
      </c>
      <c r="M207">
        <v>148</v>
      </c>
      <c r="N207">
        <v>201.28</v>
      </c>
      <c r="O207">
        <f>Base_ventes[[#This Row],[BD_2.SELLING PRICE]]*Base_ventes[[#This Row],[QUANTITY]]</f>
        <v>2817.92</v>
      </c>
      <c r="P207">
        <f>Base_ventes[[#This Row],[BD_2.BUYING PRIZE]]*Base_ventes[[#This Row],[QUANTITY]]</f>
        <v>2072</v>
      </c>
      <c r="Q207">
        <f>Base_ventes[[#This Row],[Montant Vendu]]-Base_ventes[[#This Row],[Montant Acheté]]</f>
        <v>745.92000000000007</v>
      </c>
    </row>
    <row r="208" spans="1:17" x14ac:dyDescent="0.3">
      <c r="A208" s="1">
        <v>44471</v>
      </c>
      <c r="B208">
        <f>YEAR(Base_ventes[[#This Row],[DATE]])</f>
        <v>2021</v>
      </c>
      <c r="C208">
        <f>MONTH(Base_ventes[[#This Row],[DATE]])</f>
        <v>10</v>
      </c>
      <c r="D20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08" t="s">
        <v>33</v>
      </c>
      <c r="F208">
        <v>15</v>
      </c>
      <c r="G208" t="s">
        <v>87</v>
      </c>
      <c r="H208" t="s">
        <v>82</v>
      </c>
      <c r="I208">
        <v>11</v>
      </c>
      <c r="J208" t="s">
        <v>34</v>
      </c>
      <c r="K208" t="s">
        <v>26</v>
      </c>
      <c r="L208" t="s">
        <v>4</v>
      </c>
      <c r="M208">
        <v>112</v>
      </c>
      <c r="N208">
        <v>146.72</v>
      </c>
      <c r="O208">
        <f>Base_ventes[[#This Row],[BD_2.SELLING PRICE]]*Base_ventes[[#This Row],[QUANTITY]]</f>
        <v>2200.8000000000002</v>
      </c>
      <c r="P208">
        <f>Base_ventes[[#This Row],[BD_2.BUYING PRIZE]]*Base_ventes[[#This Row],[QUANTITY]]</f>
        <v>1680</v>
      </c>
      <c r="Q208">
        <f>Base_ventes[[#This Row],[Montant Vendu]]-Base_ventes[[#This Row],[Montant Acheté]]</f>
        <v>520.80000000000018</v>
      </c>
    </row>
    <row r="209" spans="1:17" x14ac:dyDescent="0.3">
      <c r="A209" s="1">
        <v>44472</v>
      </c>
      <c r="B209">
        <f>YEAR(Base_ventes[[#This Row],[DATE]])</f>
        <v>2021</v>
      </c>
      <c r="C209">
        <f>MONTH(Base_ventes[[#This Row],[DATE]])</f>
        <v>10</v>
      </c>
      <c r="D20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09" t="s">
        <v>43</v>
      </c>
      <c r="F209">
        <v>9</v>
      </c>
      <c r="G209" t="s">
        <v>87</v>
      </c>
      <c r="H209" t="s">
        <v>82</v>
      </c>
      <c r="I209">
        <v>56</v>
      </c>
      <c r="J209" t="s">
        <v>44</v>
      </c>
      <c r="K209" t="s">
        <v>26</v>
      </c>
      <c r="L209" t="s">
        <v>14</v>
      </c>
      <c r="M209">
        <v>150</v>
      </c>
      <c r="N209">
        <v>210</v>
      </c>
      <c r="O209">
        <f>Base_ventes[[#This Row],[BD_2.SELLING PRICE]]*Base_ventes[[#This Row],[QUANTITY]]</f>
        <v>1890</v>
      </c>
      <c r="P209">
        <f>Base_ventes[[#This Row],[BD_2.BUYING PRIZE]]*Base_ventes[[#This Row],[QUANTITY]]</f>
        <v>1350</v>
      </c>
      <c r="Q209">
        <f>Base_ventes[[#This Row],[Montant Vendu]]-Base_ventes[[#This Row],[Montant Acheté]]</f>
        <v>540</v>
      </c>
    </row>
    <row r="210" spans="1:17" x14ac:dyDescent="0.3">
      <c r="A210" s="1">
        <v>44475</v>
      </c>
      <c r="B210">
        <f>YEAR(Base_ventes[[#This Row],[DATE]])</f>
        <v>2021</v>
      </c>
      <c r="C210">
        <f>MONTH(Base_ventes[[#This Row],[DATE]])</f>
        <v>10</v>
      </c>
      <c r="D21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10" t="s">
        <v>88</v>
      </c>
      <c r="F210">
        <v>1</v>
      </c>
      <c r="G210" t="s">
        <v>87</v>
      </c>
      <c r="H210" t="s">
        <v>82</v>
      </c>
      <c r="I210">
        <v>26</v>
      </c>
      <c r="J210" t="s">
        <v>89</v>
      </c>
      <c r="K210" t="s">
        <v>60</v>
      </c>
      <c r="L210" t="s">
        <v>23</v>
      </c>
      <c r="M210">
        <v>5</v>
      </c>
      <c r="N210">
        <v>6.7</v>
      </c>
      <c r="O210">
        <f>Base_ventes[[#This Row],[BD_2.SELLING PRICE]]*Base_ventes[[#This Row],[QUANTITY]]</f>
        <v>6.7</v>
      </c>
      <c r="P210">
        <f>Base_ventes[[#This Row],[BD_2.BUYING PRIZE]]*Base_ventes[[#This Row],[QUANTITY]]</f>
        <v>5</v>
      </c>
      <c r="Q210">
        <f>Base_ventes[[#This Row],[Montant Vendu]]-Base_ventes[[#This Row],[Montant Acheté]]</f>
        <v>1.7000000000000002</v>
      </c>
    </row>
    <row r="211" spans="1:17" x14ac:dyDescent="0.3">
      <c r="A211" s="1">
        <v>44475</v>
      </c>
      <c r="B211">
        <f>YEAR(Base_ventes[[#This Row],[DATE]])</f>
        <v>2021</v>
      </c>
      <c r="C211">
        <f>MONTH(Base_ventes[[#This Row],[DATE]])</f>
        <v>10</v>
      </c>
      <c r="D21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11" t="s">
        <v>96</v>
      </c>
      <c r="F211">
        <v>12</v>
      </c>
      <c r="G211" t="s">
        <v>82</v>
      </c>
      <c r="H211" t="s">
        <v>82</v>
      </c>
      <c r="I211">
        <v>53</v>
      </c>
      <c r="J211" t="s">
        <v>97</v>
      </c>
      <c r="K211" t="s">
        <v>60</v>
      </c>
      <c r="L211" t="s">
        <v>4</v>
      </c>
      <c r="M211">
        <v>90</v>
      </c>
      <c r="N211">
        <v>96.3</v>
      </c>
      <c r="O211">
        <f>Base_ventes[[#This Row],[BD_2.SELLING PRICE]]*Base_ventes[[#This Row],[QUANTITY]]</f>
        <v>1155.5999999999999</v>
      </c>
      <c r="P211">
        <f>Base_ventes[[#This Row],[BD_2.BUYING PRIZE]]*Base_ventes[[#This Row],[QUANTITY]]</f>
        <v>1080</v>
      </c>
      <c r="Q211">
        <f>Base_ventes[[#This Row],[Montant Vendu]]-Base_ventes[[#This Row],[Montant Acheté]]</f>
        <v>75.599999999999909</v>
      </c>
    </row>
    <row r="212" spans="1:17" x14ac:dyDescent="0.3">
      <c r="A212" s="1">
        <v>44476</v>
      </c>
      <c r="B212">
        <f>YEAR(Base_ventes[[#This Row],[DATE]])</f>
        <v>2021</v>
      </c>
      <c r="C212">
        <f>MONTH(Base_ventes[[#This Row],[DATE]])</f>
        <v>10</v>
      </c>
      <c r="D21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12" t="s">
        <v>58</v>
      </c>
      <c r="F212">
        <v>6</v>
      </c>
      <c r="G212" t="s">
        <v>87</v>
      </c>
      <c r="H212" t="s">
        <v>84</v>
      </c>
      <c r="I212">
        <v>21</v>
      </c>
      <c r="J212" t="s">
        <v>59</v>
      </c>
      <c r="K212" t="s">
        <v>60</v>
      </c>
      <c r="L212" t="s">
        <v>23</v>
      </c>
      <c r="M212">
        <v>18</v>
      </c>
      <c r="N212">
        <v>24.66</v>
      </c>
      <c r="O212">
        <f>Base_ventes[[#This Row],[BD_2.SELLING PRICE]]*Base_ventes[[#This Row],[QUANTITY]]</f>
        <v>147.96</v>
      </c>
      <c r="P212">
        <f>Base_ventes[[#This Row],[BD_2.BUYING PRIZE]]*Base_ventes[[#This Row],[QUANTITY]]</f>
        <v>108</v>
      </c>
      <c r="Q212">
        <f>Base_ventes[[#This Row],[Montant Vendu]]-Base_ventes[[#This Row],[Montant Acheté]]</f>
        <v>39.960000000000008</v>
      </c>
    </row>
    <row r="213" spans="1:17" x14ac:dyDescent="0.3">
      <c r="A213" s="1">
        <v>44478</v>
      </c>
      <c r="B213">
        <f>YEAR(Base_ventes[[#This Row],[DATE]])</f>
        <v>2021</v>
      </c>
      <c r="C213">
        <f>MONTH(Base_ventes[[#This Row],[DATE]])</f>
        <v>10</v>
      </c>
      <c r="D21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13" t="s">
        <v>83</v>
      </c>
      <c r="F213">
        <v>5</v>
      </c>
      <c r="G213" t="s">
        <v>87</v>
      </c>
      <c r="H213" t="s">
        <v>84</v>
      </c>
      <c r="I213">
        <v>16</v>
      </c>
      <c r="J213" t="s">
        <v>85</v>
      </c>
      <c r="K213" t="s">
        <v>86</v>
      </c>
      <c r="L213" t="s">
        <v>4</v>
      </c>
      <c r="M213">
        <v>72</v>
      </c>
      <c r="N213">
        <v>79.92</v>
      </c>
      <c r="O213">
        <f>Base_ventes[[#This Row],[BD_2.SELLING PRICE]]*Base_ventes[[#This Row],[QUANTITY]]</f>
        <v>399.6</v>
      </c>
      <c r="P213">
        <f>Base_ventes[[#This Row],[BD_2.BUYING PRIZE]]*Base_ventes[[#This Row],[QUANTITY]]</f>
        <v>360</v>
      </c>
      <c r="Q213">
        <f>Base_ventes[[#This Row],[Montant Vendu]]-Base_ventes[[#This Row],[Montant Acheté]]</f>
        <v>39.600000000000023</v>
      </c>
    </row>
    <row r="214" spans="1:17" x14ac:dyDescent="0.3">
      <c r="A214" s="1">
        <v>44478</v>
      </c>
      <c r="B214">
        <f>YEAR(Base_ventes[[#This Row],[DATE]])</f>
        <v>2021</v>
      </c>
      <c r="C214">
        <f>MONTH(Base_ventes[[#This Row],[DATE]])</f>
        <v>10</v>
      </c>
      <c r="D21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14" t="s">
        <v>90</v>
      </c>
      <c r="F214">
        <v>11</v>
      </c>
      <c r="G214" t="s">
        <v>82</v>
      </c>
      <c r="H214" t="s">
        <v>84</v>
      </c>
      <c r="I214">
        <v>34</v>
      </c>
      <c r="J214" t="s">
        <v>91</v>
      </c>
      <c r="K214" t="s">
        <v>60</v>
      </c>
      <c r="L214" t="s">
        <v>4</v>
      </c>
      <c r="M214">
        <v>89</v>
      </c>
      <c r="N214">
        <v>117.48</v>
      </c>
      <c r="O214">
        <f>Base_ventes[[#This Row],[BD_2.SELLING PRICE]]*Base_ventes[[#This Row],[QUANTITY]]</f>
        <v>1292.28</v>
      </c>
      <c r="P214">
        <f>Base_ventes[[#This Row],[BD_2.BUYING PRIZE]]*Base_ventes[[#This Row],[QUANTITY]]</f>
        <v>979</v>
      </c>
      <c r="Q214">
        <f>Base_ventes[[#This Row],[Montant Vendu]]-Base_ventes[[#This Row],[Montant Acheté]]</f>
        <v>313.27999999999997</v>
      </c>
    </row>
    <row r="215" spans="1:17" x14ac:dyDescent="0.3">
      <c r="A215" s="1">
        <v>44479</v>
      </c>
      <c r="B215">
        <f>YEAR(Base_ventes[[#This Row],[DATE]])</f>
        <v>2021</v>
      </c>
      <c r="C215">
        <f>MONTH(Base_ventes[[#This Row],[DATE]])</f>
        <v>10</v>
      </c>
      <c r="D21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15" t="s">
        <v>88</v>
      </c>
      <c r="F215">
        <v>14</v>
      </c>
      <c r="G215" t="s">
        <v>87</v>
      </c>
      <c r="H215" t="s">
        <v>84</v>
      </c>
      <c r="I215">
        <v>79</v>
      </c>
      <c r="J215" t="s">
        <v>89</v>
      </c>
      <c r="K215" t="s">
        <v>60</v>
      </c>
      <c r="L215" t="s">
        <v>23</v>
      </c>
      <c r="M215">
        <v>5</v>
      </c>
      <c r="N215">
        <v>6.7</v>
      </c>
      <c r="O215">
        <f>Base_ventes[[#This Row],[BD_2.SELLING PRICE]]*Base_ventes[[#This Row],[QUANTITY]]</f>
        <v>93.8</v>
      </c>
      <c r="P215">
        <f>Base_ventes[[#This Row],[BD_2.BUYING PRIZE]]*Base_ventes[[#This Row],[QUANTITY]]</f>
        <v>70</v>
      </c>
      <c r="Q215">
        <f>Base_ventes[[#This Row],[Montant Vendu]]-Base_ventes[[#This Row],[Montant Acheté]]</f>
        <v>23.799999999999997</v>
      </c>
    </row>
    <row r="216" spans="1:17" x14ac:dyDescent="0.3">
      <c r="A216" s="1">
        <v>44480</v>
      </c>
      <c r="B216">
        <f>YEAR(Base_ventes[[#This Row],[DATE]])</f>
        <v>2021</v>
      </c>
      <c r="C216">
        <f>MONTH(Base_ventes[[#This Row],[DATE]])</f>
        <v>10</v>
      </c>
      <c r="D21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16" t="s">
        <v>27</v>
      </c>
      <c r="F216">
        <v>15</v>
      </c>
      <c r="G216" t="s">
        <v>87</v>
      </c>
      <c r="H216" t="s">
        <v>84</v>
      </c>
      <c r="I216">
        <v>39</v>
      </c>
      <c r="J216" t="s">
        <v>28</v>
      </c>
      <c r="K216" t="s">
        <v>26</v>
      </c>
      <c r="L216" t="s">
        <v>11</v>
      </c>
      <c r="M216">
        <v>44</v>
      </c>
      <c r="N216">
        <v>48.4</v>
      </c>
      <c r="O216">
        <f>Base_ventes[[#This Row],[BD_2.SELLING PRICE]]*Base_ventes[[#This Row],[QUANTITY]]</f>
        <v>726</v>
      </c>
      <c r="P216">
        <f>Base_ventes[[#This Row],[BD_2.BUYING PRIZE]]*Base_ventes[[#This Row],[QUANTITY]]</f>
        <v>660</v>
      </c>
      <c r="Q216">
        <f>Base_ventes[[#This Row],[Montant Vendu]]-Base_ventes[[#This Row],[Montant Acheté]]</f>
        <v>66</v>
      </c>
    </row>
    <row r="217" spans="1:17" x14ac:dyDescent="0.3">
      <c r="A217" s="1">
        <v>44481</v>
      </c>
      <c r="B217">
        <f>YEAR(Base_ventes[[#This Row],[DATE]])</f>
        <v>2021</v>
      </c>
      <c r="C217">
        <f>MONTH(Base_ventes[[#This Row],[DATE]])</f>
        <v>10</v>
      </c>
      <c r="D21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17" t="s">
        <v>61</v>
      </c>
      <c r="F217">
        <v>8</v>
      </c>
      <c r="G217" t="s">
        <v>82</v>
      </c>
      <c r="H217" t="s">
        <v>82</v>
      </c>
      <c r="I217">
        <v>64</v>
      </c>
      <c r="J217" t="s">
        <v>62</v>
      </c>
      <c r="K217" t="s">
        <v>60</v>
      </c>
      <c r="L217" t="s">
        <v>11</v>
      </c>
      <c r="M217">
        <v>48</v>
      </c>
      <c r="N217">
        <v>57.120000000000005</v>
      </c>
      <c r="O217">
        <f>Base_ventes[[#This Row],[BD_2.SELLING PRICE]]*Base_ventes[[#This Row],[QUANTITY]]</f>
        <v>456.96000000000004</v>
      </c>
      <c r="P217">
        <f>Base_ventes[[#This Row],[BD_2.BUYING PRIZE]]*Base_ventes[[#This Row],[QUANTITY]]</f>
        <v>384</v>
      </c>
      <c r="Q217">
        <f>Base_ventes[[#This Row],[Montant Vendu]]-Base_ventes[[#This Row],[Montant Acheté]]</f>
        <v>72.960000000000036</v>
      </c>
    </row>
    <row r="218" spans="1:17" x14ac:dyDescent="0.3">
      <c r="A218" s="1">
        <v>44486</v>
      </c>
      <c r="B218">
        <f>YEAR(Base_ventes[[#This Row],[DATE]])</f>
        <v>2021</v>
      </c>
      <c r="C218">
        <f>MONTH(Base_ventes[[#This Row],[DATE]])</f>
        <v>10</v>
      </c>
      <c r="D21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18" t="s">
        <v>1</v>
      </c>
      <c r="F218">
        <v>13</v>
      </c>
      <c r="G218" t="s">
        <v>87</v>
      </c>
      <c r="H218" t="s">
        <v>82</v>
      </c>
      <c r="I218">
        <v>81</v>
      </c>
      <c r="J218" t="s">
        <v>2</v>
      </c>
      <c r="K218" t="s">
        <v>3</v>
      </c>
      <c r="L218" t="s">
        <v>4</v>
      </c>
      <c r="M218">
        <v>98</v>
      </c>
      <c r="N218">
        <v>103.88</v>
      </c>
      <c r="O218">
        <f>Base_ventes[[#This Row],[BD_2.SELLING PRICE]]*Base_ventes[[#This Row],[QUANTITY]]</f>
        <v>1350.44</v>
      </c>
      <c r="P218">
        <f>Base_ventes[[#This Row],[BD_2.BUYING PRIZE]]*Base_ventes[[#This Row],[QUANTITY]]</f>
        <v>1274</v>
      </c>
      <c r="Q218">
        <f>Base_ventes[[#This Row],[Montant Vendu]]-Base_ventes[[#This Row],[Montant Acheté]]</f>
        <v>76.440000000000055</v>
      </c>
    </row>
    <row r="219" spans="1:17" x14ac:dyDescent="0.3">
      <c r="A219" s="1">
        <v>44487</v>
      </c>
      <c r="B219">
        <f>YEAR(Base_ventes[[#This Row],[DATE]])</f>
        <v>2021</v>
      </c>
      <c r="C219">
        <f>MONTH(Base_ventes[[#This Row],[DATE]])</f>
        <v>10</v>
      </c>
      <c r="D21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19" t="s">
        <v>56</v>
      </c>
      <c r="F219">
        <v>6</v>
      </c>
      <c r="G219" t="s">
        <v>82</v>
      </c>
      <c r="H219" t="s">
        <v>84</v>
      </c>
      <c r="I219">
        <v>14</v>
      </c>
      <c r="J219" t="s">
        <v>57</v>
      </c>
      <c r="K219" t="s">
        <v>47</v>
      </c>
      <c r="L219" t="s">
        <v>23</v>
      </c>
      <c r="M219">
        <v>7</v>
      </c>
      <c r="N219">
        <v>8.33</v>
      </c>
      <c r="O219">
        <f>Base_ventes[[#This Row],[BD_2.SELLING PRICE]]*Base_ventes[[#This Row],[QUANTITY]]</f>
        <v>49.980000000000004</v>
      </c>
      <c r="P219">
        <f>Base_ventes[[#This Row],[BD_2.BUYING PRIZE]]*Base_ventes[[#This Row],[QUANTITY]]</f>
        <v>42</v>
      </c>
      <c r="Q219">
        <f>Base_ventes[[#This Row],[Montant Vendu]]-Base_ventes[[#This Row],[Montant Acheté]]</f>
        <v>7.980000000000004</v>
      </c>
    </row>
    <row r="220" spans="1:17" x14ac:dyDescent="0.3">
      <c r="A220" s="1">
        <v>44487</v>
      </c>
      <c r="B220">
        <f>YEAR(Base_ventes[[#This Row],[DATE]])</f>
        <v>2021</v>
      </c>
      <c r="C220">
        <f>MONTH(Base_ventes[[#This Row],[DATE]])</f>
        <v>10</v>
      </c>
      <c r="D22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20" t="s">
        <v>48</v>
      </c>
      <c r="F220">
        <v>13</v>
      </c>
      <c r="G220" t="s">
        <v>82</v>
      </c>
      <c r="H220" t="s">
        <v>84</v>
      </c>
      <c r="I220">
        <v>40</v>
      </c>
      <c r="J220" t="s">
        <v>49</v>
      </c>
      <c r="K220" t="s">
        <v>47</v>
      </c>
      <c r="L220" t="s">
        <v>14</v>
      </c>
      <c r="M220">
        <v>126</v>
      </c>
      <c r="N220">
        <v>162.54</v>
      </c>
      <c r="O220">
        <f>Base_ventes[[#This Row],[BD_2.SELLING PRICE]]*Base_ventes[[#This Row],[QUANTITY]]</f>
        <v>2113.02</v>
      </c>
      <c r="P220">
        <f>Base_ventes[[#This Row],[BD_2.BUYING PRIZE]]*Base_ventes[[#This Row],[QUANTITY]]</f>
        <v>1638</v>
      </c>
      <c r="Q220">
        <f>Base_ventes[[#This Row],[Montant Vendu]]-Base_ventes[[#This Row],[Montant Acheté]]</f>
        <v>475.02</v>
      </c>
    </row>
    <row r="221" spans="1:17" x14ac:dyDescent="0.3">
      <c r="A221" s="1">
        <v>44491</v>
      </c>
      <c r="B221">
        <f>YEAR(Base_ventes[[#This Row],[DATE]])</f>
        <v>2021</v>
      </c>
      <c r="C221">
        <f>MONTH(Base_ventes[[#This Row],[DATE]])</f>
        <v>10</v>
      </c>
      <c r="D22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21" t="s">
        <v>27</v>
      </c>
      <c r="F221">
        <v>7</v>
      </c>
      <c r="G221" t="s">
        <v>87</v>
      </c>
      <c r="H221" t="s">
        <v>84</v>
      </c>
      <c r="I221">
        <v>16</v>
      </c>
      <c r="J221" t="s">
        <v>28</v>
      </c>
      <c r="K221" t="s">
        <v>26</v>
      </c>
      <c r="L221" t="s">
        <v>11</v>
      </c>
      <c r="M221">
        <v>44</v>
      </c>
      <c r="N221">
        <v>48.4</v>
      </c>
      <c r="O221">
        <f>Base_ventes[[#This Row],[BD_2.SELLING PRICE]]*Base_ventes[[#This Row],[QUANTITY]]</f>
        <v>338.8</v>
      </c>
      <c r="P221">
        <f>Base_ventes[[#This Row],[BD_2.BUYING PRIZE]]*Base_ventes[[#This Row],[QUANTITY]]</f>
        <v>308</v>
      </c>
      <c r="Q221">
        <f>Base_ventes[[#This Row],[Montant Vendu]]-Base_ventes[[#This Row],[Montant Acheté]]</f>
        <v>30.800000000000011</v>
      </c>
    </row>
    <row r="222" spans="1:17" x14ac:dyDescent="0.3">
      <c r="A222" s="1">
        <v>44491</v>
      </c>
      <c r="B222">
        <f>YEAR(Base_ventes[[#This Row],[DATE]])</f>
        <v>2021</v>
      </c>
      <c r="C222">
        <f>MONTH(Base_ventes[[#This Row],[DATE]])</f>
        <v>10</v>
      </c>
      <c r="D22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22" t="s">
        <v>54</v>
      </c>
      <c r="F222">
        <v>13</v>
      </c>
      <c r="G222" t="s">
        <v>82</v>
      </c>
      <c r="H222" t="s">
        <v>84</v>
      </c>
      <c r="I222">
        <v>22</v>
      </c>
      <c r="J222" t="s">
        <v>55</v>
      </c>
      <c r="K222" t="s">
        <v>47</v>
      </c>
      <c r="L222" t="s">
        <v>14</v>
      </c>
      <c r="M222">
        <v>144</v>
      </c>
      <c r="N222">
        <v>156.96</v>
      </c>
      <c r="O222">
        <f>Base_ventes[[#This Row],[BD_2.SELLING PRICE]]*Base_ventes[[#This Row],[QUANTITY]]</f>
        <v>2040.48</v>
      </c>
      <c r="P222">
        <f>Base_ventes[[#This Row],[BD_2.BUYING PRIZE]]*Base_ventes[[#This Row],[QUANTITY]]</f>
        <v>1872</v>
      </c>
      <c r="Q222">
        <f>Base_ventes[[#This Row],[Montant Vendu]]-Base_ventes[[#This Row],[Montant Acheté]]</f>
        <v>168.48000000000002</v>
      </c>
    </row>
    <row r="223" spans="1:17" x14ac:dyDescent="0.3">
      <c r="A223" s="1">
        <v>44491</v>
      </c>
      <c r="B223">
        <f>YEAR(Base_ventes[[#This Row],[DATE]])</f>
        <v>2021</v>
      </c>
      <c r="C223">
        <f>MONTH(Base_ventes[[#This Row],[DATE]])</f>
        <v>10</v>
      </c>
      <c r="D22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23" t="s">
        <v>21</v>
      </c>
      <c r="F223">
        <v>1</v>
      </c>
      <c r="G223" t="s">
        <v>87</v>
      </c>
      <c r="H223" t="s">
        <v>84</v>
      </c>
      <c r="I223">
        <v>48</v>
      </c>
      <c r="J223" t="s">
        <v>22</v>
      </c>
      <c r="K223" t="s">
        <v>3</v>
      </c>
      <c r="L223" t="s">
        <v>23</v>
      </c>
      <c r="M223">
        <v>6</v>
      </c>
      <c r="N223">
        <v>7.8599999999999994</v>
      </c>
      <c r="O223">
        <f>Base_ventes[[#This Row],[BD_2.SELLING PRICE]]*Base_ventes[[#This Row],[QUANTITY]]</f>
        <v>7.8599999999999994</v>
      </c>
      <c r="P223">
        <f>Base_ventes[[#This Row],[BD_2.BUYING PRIZE]]*Base_ventes[[#This Row],[QUANTITY]]</f>
        <v>6</v>
      </c>
      <c r="Q223">
        <f>Base_ventes[[#This Row],[Montant Vendu]]-Base_ventes[[#This Row],[Montant Acheté]]</f>
        <v>1.8599999999999994</v>
      </c>
    </row>
    <row r="224" spans="1:17" x14ac:dyDescent="0.3">
      <c r="A224" s="1">
        <v>44493</v>
      </c>
      <c r="B224">
        <f>YEAR(Base_ventes[[#This Row],[DATE]])</f>
        <v>2021</v>
      </c>
      <c r="C224">
        <f>MONTH(Base_ventes[[#This Row],[DATE]])</f>
        <v>10</v>
      </c>
      <c r="D22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24" t="s">
        <v>27</v>
      </c>
      <c r="F224">
        <v>3</v>
      </c>
      <c r="G224" t="s">
        <v>81</v>
      </c>
      <c r="H224" t="s">
        <v>84</v>
      </c>
      <c r="I224">
        <v>88</v>
      </c>
      <c r="J224" t="s">
        <v>28</v>
      </c>
      <c r="K224" t="s">
        <v>26</v>
      </c>
      <c r="L224" t="s">
        <v>11</v>
      </c>
      <c r="M224">
        <v>44</v>
      </c>
      <c r="N224">
        <v>48.4</v>
      </c>
      <c r="O224">
        <f>Base_ventes[[#This Row],[BD_2.SELLING PRICE]]*Base_ventes[[#This Row],[QUANTITY]]</f>
        <v>145.19999999999999</v>
      </c>
      <c r="P224">
        <f>Base_ventes[[#This Row],[BD_2.BUYING PRIZE]]*Base_ventes[[#This Row],[QUANTITY]]</f>
        <v>132</v>
      </c>
      <c r="Q224">
        <f>Base_ventes[[#This Row],[Montant Vendu]]-Base_ventes[[#This Row],[Montant Acheté]]</f>
        <v>13.199999999999989</v>
      </c>
    </row>
    <row r="225" spans="1:17" x14ac:dyDescent="0.3">
      <c r="A225" s="1">
        <v>44494</v>
      </c>
      <c r="B225">
        <f>YEAR(Base_ventes[[#This Row],[DATE]])</f>
        <v>2021</v>
      </c>
      <c r="C225">
        <f>MONTH(Base_ventes[[#This Row],[DATE]])</f>
        <v>10</v>
      </c>
      <c r="D22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25" t="s">
        <v>110</v>
      </c>
      <c r="F225">
        <v>9</v>
      </c>
      <c r="G225" t="s">
        <v>82</v>
      </c>
      <c r="H225" t="s">
        <v>84</v>
      </c>
      <c r="I225">
        <v>37</v>
      </c>
      <c r="J225" t="s">
        <v>111</v>
      </c>
      <c r="K225" t="s">
        <v>86</v>
      </c>
      <c r="L225" t="s">
        <v>4</v>
      </c>
      <c r="M225">
        <v>76</v>
      </c>
      <c r="N225">
        <v>82.08</v>
      </c>
      <c r="O225">
        <f>Base_ventes[[#This Row],[BD_2.SELLING PRICE]]*Base_ventes[[#This Row],[QUANTITY]]</f>
        <v>738.72</v>
      </c>
      <c r="P225">
        <f>Base_ventes[[#This Row],[BD_2.BUYING PRIZE]]*Base_ventes[[#This Row],[QUANTITY]]</f>
        <v>684</v>
      </c>
      <c r="Q225">
        <f>Base_ventes[[#This Row],[Montant Vendu]]-Base_ventes[[#This Row],[Montant Acheté]]</f>
        <v>54.720000000000027</v>
      </c>
    </row>
    <row r="226" spans="1:17" x14ac:dyDescent="0.3">
      <c r="A226" s="1">
        <v>44495</v>
      </c>
      <c r="B226">
        <f>YEAR(Base_ventes[[#This Row],[DATE]])</f>
        <v>2021</v>
      </c>
      <c r="C226">
        <f>MONTH(Base_ventes[[#This Row],[DATE]])</f>
        <v>10</v>
      </c>
      <c r="D22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26" t="s">
        <v>9</v>
      </c>
      <c r="F226">
        <v>6</v>
      </c>
      <c r="G226" t="s">
        <v>81</v>
      </c>
      <c r="H226" t="s">
        <v>84</v>
      </c>
      <c r="I226">
        <v>63</v>
      </c>
      <c r="J226" t="s">
        <v>10</v>
      </c>
      <c r="K226" t="s">
        <v>3</v>
      </c>
      <c r="L226" t="s">
        <v>11</v>
      </c>
      <c r="M226">
        <v>44</v>
      </c>
      <c r="N226">
        <v>48.84</v>
      </c>
      <c r="O226">
        <f>Base_ventes[[#This Row],[BD_2.SELLING PRICE]]*Base_ventes[[#This Row],[QUANTITY]]</f>
        <v>293.04000000000002</v>
      </c>
      <c r="P226">
        <f>Base_ventes[[#This Row],[BD_2.BUYING PRIZE]]*Base_ventes[[#This Row],[QUANTITY]]</f>
        <v>264</v>
      </c>
      <c r="Q226">
        <f>Base_ventes[[#This Row],[Montant Vendu]]-Base_ventes[[#This Row],[Montant Acheté]]</f>
        <v>29.04000000000002</v>
      </c>
    </row>
    <row r="227" spans="1:17" x14ac:dyDescent="0.3">
      <c r="A227" s="1">
        <v>44497</v>
      </c>
      <c r="B227">
        <f>YEAR(Base_ventes[[#This Row],[DATE]])</f>
        <v>2021</v>
      </c>
      <c r="C227">
        <f>MONTH(Base_ventes[[#This Row],[DATE]])</f>
        <v>10</v>
      </c>
      <c r="D22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27" t="s">
        <v>19</v>
      </c>
      <c r="F227">
        <v>1</v>
      </c>
      <c r="G227" t="s">
        <v>87</v>
      </c>
      <c r="H227" t="s">
        <v>84</v>
      </c>
      <c r="I227">
        <v>52</v>
      </c>
      <c r="J227" t="s">
        <v>20</v>
      </c>
      <c r="K227" t="s">
        <v>3</v>
      </c>
      <c r="L227" t="s">
        <v>4</v>
      </c>
      <c r="M227">
        <v>83</v>
      </c>
      <c r="N227">
        <v>94.62</v>
      </c>
      <c r="O227">
        <f>Base_ventes[[#This Row],[BD_2.SELLING PRICE]]*Base_ventes[[#This Row],[QUANTITY]]</f>
        <v>94.62</v>
      </c>
      <c r="P227">
        <f>Base_ventes[[#This Row],[BD_2.BUYING PRIZE]]*Base_ventes[[#This Row],[QUANTITY]]</f>
        <v>83</v>
      </c>
      <c r="Q227">
        <f>Base_ventes[[#This Row],[Montant Vendu]]-Base_ventes[[#This Row],[Montant Acheté]]</f>
        <v>11.620000000000005</v>
      </c>
    </row>
    <row r="228" spans="1:17" x14ac:dyDescent="0.3">
      <c r="A228" s="1">
        <v>44498</v>
      </c>
      <c r="B228">
        <f>YEAR(Base_ventes[[#This Row],[DATE]])</f>
        <v>2021</v>
      </c>
      <c r="C228">
        <f>MONTH(Base_ventes[[#This Row],[DATE]])</f>
        <v>10</v>
      </c>
      <c r="D22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28" t="s">
        <v>83</v>
      </c>
      <c r="F228">
        <v>14</v>
      </c>
      <c r="G228" t="s">
        <v>82</v>
      </c>
      <c r="H228" t="s">
        <v>82</v>
      </c>
      <c r="I228">
        <v>63</v>
      </c>
      <c r="J228" t="s">
        <v>85</v>
      </c>
      <c r="K228" t="s">
        <v>86</v>
      </c>
      <c r="L228" t="s">
        <v>4</v>
      </c>
      <c r="M228">
        <v>72</v>
      </c>
      <c r="N228">
        <v>79.92</v>
      </c>
      <c r="O228">
        <f>Base_ventes[[#This Row],[BD_2.SELLING PRICE]]*Base_ventes[[#This Row],[QUANTITY]]</f>
        <v>1118.8800000000001</v>
      </c>
      <c r="P228">
        <f>Base_ventes[[#This Row],[BD_2.BUYING PRIZE]]*Base_ventes[[#This Row],[QUANTITY]]</f>
        <v>1008</v>
      </c>
      <c r="Q228">
        <f>Base_ventes[[#This Row],[Montant Vendu]]-Base_ventes[[#This Row],[Montant Acheté]]</f>
        <v>110.88000000000011</v>
      </c>
    </row>
    <row r="229" spans="1:17" x14ac:dyDescent="0.3">
      <c r="A229" s="1">
        <v>44500</v>
      </c>
      <c r="B229">
        <f>YEAR(Base_ventes[[#This Row],[DATE]])</f>
        <v>2021</v>
      </c>
      <c r="C229">
        <f>MONTH(Base_ventes[[#This Row],[DATE]])</f>
        <v>10</v>
      </c>
      <c r="D22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229" t="s">
        <v>48</v>
      </c>
      <c r="F229">
        <v>6</v>
      </c>
      <c r="G229" t="s">
        <v>82</v>
      </c>
      <c r="H229" t="s">
        <v>84</v>
      </c>
      <c r="I229">
        <v>8</v>
      </c>
      <c r="J229" t="s">
        <v>49</v>
      </c>
      <c r="K229" t="s">
        <v>47</v>
      </c>
      <c r="L229" t="s">
        <v>14</v>
      </c>
      <c r="M229">
        <v>126</v>
      </c>
      <c r="N229">
        <v>162.54</v>
      </c>
      <c r="O229">
        <f>Base_ventes[[#This Row],[BD_2.SELLING PRICE]]*Base_ventes[[#This Row],[QUANTITY]]</f>
        <v>975.24</v>
      </c>
      <c r="P229">
        <f>Base_ventes[[#This Row],[BD_2.BUYING PRIZE]]*Base_ventes[[#This Row],[QUANTITY]]</f>
        <v>756</v>
      </c>
      <c r="Q229">
        <f>Base_ventes[[#This Row],[Montant Vendu]]-Base_ventes[[#This Row],[Montant Acheté]]</f>
        <v>219.24</v>
      </c>
    </row>
    <row r="230" spans="1:17" x14ac:dyDescent="0.3">
      <c r="A230" s="1">
        <v>44503</v>
      </c>
      <c r="B230">
        <f>YEAR(Base_ventes[[#This Row],[DATE]])</f>
        <v>2021</v>
      </c>
      <c r="C230">
        <f>MONTH(Base_ventes[[#This Row],[DATE]])</f>
        <v>11</v>
      </c>
      <c r="D23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230" t="s">
        <v>31</v>
      </c>
      <c r="F230">
        <v>12</v>
      </c>
      <c r="G230" t="s">
        <v>87</v>
      </c>
      <c r="H230" t="s">
        <v>84</v>
      </c>
      <c r="I230">
        <v>61</v>
      </c>
      <c r="J230" t="s">
        <v>32</v>
      </c>
      <c r="K230" t="s">
        <v>26</v>
      </c>
      <c r="L230" t="s">
        <v>4</v>
      </c>
      <c r="M230">
        <v>112</v>
      </c>
      <c r="N230">
        <v>122.08</v>
      </c>
      <c r="O230">
        <f>Base_ventes[[#This Row],[BD_2.SELLING PRICE]]*Base_ventes[[#This Row],[QUANTITY]]</f>
        <v>1464.96</v>
      </c>
      <c r="P230">
        <f>Base_ventes[[#This Row],[BD_2.BUYING PRIZE]]*Base_ventes[[#This Row],[QUANTITY]]</f>
        <v>1344</v>
      </c>
      <c r="Q230">
        <f>Base_ventes[[#This Row],[Montant Vendu]]-Base_ventes[[#This Row],[Montant Acheté]]</f>
        <v>120.96000000000004</v>
      </c>
    </row>
    <row r="231" spans="1:17" x14ac:dyDescent="0.3">
      <c r="A231" s="1">
        <v>44506</v>
      </c>
      <c r="B231">
        <f>YEAR(Base_ventes[[#This Row],[DATE]])</f>
        <v>2021</v>
      </c>
      <c r="C231">
        <f>MONTH(Base_ventes[[#This Row],[DATE]])</f>
        <v>11</v>
      </c>
      <c r="D23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231" t="s">
        <v>96</v>
      </c>
      <c r="F231">
        <v>10</v>
      </c>
      <c r="G231" t="s">
        <v>87</v>
      </c>
      <c r="H231" t="s">
        <v>82</v>
      </c>
      <c r="I231">
        <v>90</v>
      </c>
      <c r="J231" t="s">
        <v>97</v>
      </c>
      <c r="K231" t="s">
        <v>60</v>
      </c>
      <c r="L231" t="s">
        <v>4</v>
      </c>
      <c r="M231">
        <v>90</v>
      </c>
      <c r="N231">
        <v>96.3</v>
      </c>
      <c r="O231">
        <f>Base_ventes[[#This Row],[BD_2.SELLING PRICE]]*Base_ventes[[#This Row],[QUANTITY]]</f>
        <v>963</v>
      </c>
      <c r="P231">
        <f>Base_ventes[[#This Row],[BD_2.BUYING PRIZE]]*Base_ventes[[#This Row],[QUANTITY]]</f>
        <v>900</v>
      </c>
      <c r="Q231">
        <f>Base_ventes[[#This Row],[Montant Vendu]]-Base_ventes[[#This Row],[Montant Acheté]]</f>
        <v>63</v>
      </c>
    </row>
    <row r="232" spans="1:17" x14ac:dyDescent="0.3">
      <c r="A232" s="1">
        <v>44508</v>
      </c>
      <c r="B232">
        <f>YEAR(Base_ventes[[#This Row],[DATE]])</f>
        <v>2021</v>
      </c>
      <c r="C232">
        <f>MONTH(Base_ventes[[#This Row],[DATE]])</f>
        <v>11</v>
      </c>
      <c r="D23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232" t="s">
        <v>17</v>
      </c>
      <c r="F232">
        <v>15</v>
      </c>
      <c r="G232" t="s">
        <v>87</v>
      </c>
      <c r="H232" t="s">
        <v>82</v>
      </c>
      <c r="I232">
        <v>46</v>
      </c>
      <c r="J232" t="s">
        <v>18</v>
      </c>
      <c r="K232" t="s">
        <v>3</v>
      </c>
      <c r="L232" t="s">
        <v>11</v>
      </c>
      <c r="M232">
        <v>43</v>
      </c>
      <c r="N232">
        <v>47.730000000000004</v>
      </c>
      <c r="O232">
        <f>Base_ventes[[#This Row],[BD_2.SELLING PRICE]]*Base_ventes[[#This Row],[QUANTITY]]</f>
        <v>715.95</v>
      </c>
      <c r="P232">
        <f>Base_ventes[[#This Row],[BD_2.BUYING PRIZE]]*Base_ventes[[#This Row],[QUANTITY]]</f>
        <v>645</v>
      </c>
      <c r="Q232">
        <f>Base_ventes[[#This Row],[Montant Vendu]]-Base_ventes[[#This Row],[Montant Acheté]]</f>
        <v>70.950000000000045</v>
      </c>
    </row>
    <row r="233" spans="1:17" x14ac:dyDescent="0.3">
      <c r="A233" s="1">
        <v>44510</v>
      </c>
      <c r="B233">
        <f>YEAR(Base_ventes[[#This Row],[DATE]])</f>
        <v>2021</v>
      </c>
      <c r="C233">
        <f>MONTH(Base_ventes[[#This Row],[DATE]])</f>
        <v>11</v>
      </c>
      <c r="D23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233" t="s">
        <v>106</v>
      </c>
      <c r="F233">
        <v>6</v>
      </c>
      <c r="G233" t="s">
        <v>82</v>
      </c>
      <c r="H233" t="s">
        <v>84</v>
      </c>
      <c r="I233">
        <v>5</v>
      </c>
      <c r="J233" t="s">
        <v>107</v>
      </c>
      <c r="K233" t="s">
        <v>86</v>
      </c>
      <c r="L233" t="s">
        <v>14</v>
      </c>
      <c r="M233">
        <v>120</v>
      </c>
      <c r="N233">
        <v>162</v>
      </c>
      <c r="O233">
        <f>Base_ventes[[#This Row],[BD_2.SELLING PRICE]]*Base_ventes[[#This Row],[QUANTITY]]</f>
        <v>972</v>
      </c>
      <c r="P233">
        <f>Base_ventes[[#This Row],[BD_2.BUYING PRIZE]]*Base_ventes[[#This Row],[QUANTITY]]</f>
        <v>720</v>
      </c>
      <c r="Q233">
        <f>Base_ventes[[#This Row],[Montant Vendu]]-Base_ventes[[#This Row],[Montant Acheté]]</f>
        <v>252</v>
      </c>
    </row>
    <row r="234" spans="1:17" x14ac:dyDescent="0.3">
      <c r="A234" s="1">
        <v>44511</v>
      </c>
      <c r="B234">
        <f>YEAR(Base_ventes[[#This Row],[DATE]])</f>
        <v>2021</v>
      </c>
      <c r="C234">
        <f>MONTH(Base_ventes[[#This Row],[DATE]])</f>
        <v>11</v>
      </c>
      <c r="D23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234" t="s">
        <v>102</v>
      </c>
      <c r="F234">
        <v>12</v>
      </c>
      <c r="G234" t="s">
        <v>81</v>
      </c>
      <c r="H234" t="s">
        <v>82</v>
      </c>
      <c r="I234">
        <v>24</v>
      </c>
      <c r="J234" t="s">
        <v>103</v>
      </c>
      <c r="K234" t="s">
        <v>86</v>
      </c>
      <c r="L234" t="s">
        <v>4</v>
      </c>
      <c r="M234">
        <v>90</v>
      </c>
      <c r="N234">
        <v>115.2</v>
      </c>
      <c r="O234">
        <f>Base_ventes[[#This Row],[BD_2.SELLING PRICE]]*Base_ventes[[#This Row],[QUANTITY]]</f>
        <v>1382.4</v>
      </c>
      <c r="P234">
        <f>Base_ventes[[#This Row],[BD_2.BUYING PRIZE]]*Base_ventes[[#This Row],[QUANTITY]]</f>
        <v>1080</v>
      </c>
      <c r="Q234">
        <f>Base_ventes[[#This Row],[Montant Vendu]]-Base_ventes[[#This Row],[Montant Acheté]]</f>
        <v>302.40000000000009</v>
      </c>
    </row>
    <row r="235" spans="1:17" x14ac:dyDescent="0.3">
      <c r="A235" s="1">
        <v>44512</v>
      </c>
      <c r="B235">
        <f>YEAR(Base_ventes[[#This Row],[DATE]])</f>
        <v>2021</v>
      </c>
      <c r="C235">
        <f>MONTH(Base_ventes[[#This Row],[DATE]])</f>
        <v>11</v>
      </c>
      <c r="D23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235" t="s">
        <v>24</v>
      </c>
      <c r="F235">
        <v>3</v>
      </c>
      <c r="G235" t="s">
        <v>82</v>
      </c>
      <c r="H235" t="s">
        <v>84</v>
      </c>
      <c r="I235">
        <v>53</v>
      </c>
      <c r="J235" t="s">
        <v>25</v>
      </c>
      <c r="K235" t="s">
        <v>26</v>
      </c>
      <c r="L235" t="s">
        <v>14</v>
      </c>
      <c r="M235">
        <v>148</v>
      </c>
      <c r="N235">
        <v>164.28</v>
      </c>
      <c r="O235">
        <f>Base_ventes[[#This Row],[BD_2.SELLING PRICE]]*Base_ventes[[#This Row],[QUANTITY]]</f>
        <v>492.84000000000003</v>
      </c>
      <c r="P235">
        <f>Base_ventes[[#This Row],[BD_2.BUYING PRIZE]]*Base_ventes[[#This Row],[QUANTITY]]</f>
        <v>444</v>
      </c>
      <c r="Q235">
        <f>Base_ventes[[#This Row],[Montant Vendu]]-Base_ventes[[#This Row],[Montant Acheté]]</f>
        <v>48.840000000000032</v>
      </c>
    </row>
    <row r="236" spans="1:17" x14ac:dyDescent="0.3">
      <c r="A236" s="1">
        <v>44520</v>
      </c>
      <c r="B236">
        <f>YEAR(Base_ventes[[#This Row],[DATE]])</f>
        <v>2021</v>
      </c>
      <c r="C236">
        <f>MONTH(Base_ventes[[#This Row],[DATE]])</f>
        <v>11</v>
      </c>
      <c r="D23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236" t="s">
        <v>94</v>
      </c>
      <c r="F236">
        <v>14</v>
      </c>
      <c r="G236" t="s">
        <v>82</v>
      </c>
      <c r="H236" t="s">
        <v>82</v>
      </c>
      <c r="I236">
        <v>7</v>
      </c>
      <c r="J236" t="s">
        <v>95</v>
      </c>
      <c r="K236" t="s">
        <v>60</v>
      </c>
      <c r="L236" t="s">
        <v>11</v>
      </c>
      <c r="M236">
        <v>55</v>
      </c>
      <c r="N236">
        <v>58.3</v>
      </c>
      <c r="O236">
        <f>Base_ventes[[#This Row],[BD_2.SELLING PRICE]]*Base_ventes[[#This Row],[QUANTITY]]</f>
        <v>816.19999999999993</v>
      </c>
      <c r="P236">
        <f>Base_ventes[[#This Row],[BD_2.BUYING PRIZE]]*Base_ventes[[#This Row],[QUANTITY]]</f>
        <v>770</v>
      </c>
      <c r="Q236">
        <f>Base_ventes[[#This Row],[Montant Vendu]]-Base_ventes[[#This Row],[Montant Acheté]]</f>
        <v>46.199999999999932</v>
      </c>
    </row>
    <row r="237" spans="1:17" x14ac:dyDescent="0.3">
      <c r="A237" s="1">
        <v>44520</v>
      </c>
      <c r="B237">
        <f>YEAR(Base_ventes[[#This Row],[DATE]])</f>
        <v>2021</v>
      </c>
      <c r="C237">
        <f>MONTH(Base_ventes[[#This Row],[DATE]])</f>
        <v>11</v>
      </c>
      <c r="D23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237" t="s">
        <v>19</v>
      </c>
      <c r="F237">
        <v>11</v>
      </c>
      <c r="G237" t="s">
        <v>82</v>
      </c>
      <c r="H237" t="s">
        <v>84</v>
      </c>
      <c r="I237">
        <v>26</v>
      </c>
      <c r="J237" t="s">
        <v>20</v>
      </c>
      <c r="K237" t="s">
        <v>3</v>
      </c>
      <c r="L237" t="s">
        <v>4</v>
      </c>
      <c r="M237">
        <v>83</v>
      </c>
      <c r="N237">
        <v>94.62</v>
      </c>
      <c r="O237">
        <f>Base_ventes[[#This Row],[BD_2.SELLING PRICE]]*Base_ventes[[#This Row],[QUANTITY]]</f>
        <v>1040.8200000000002</v>
      </c>
      <c r="P237">
        <f>Base_ventes[[#This Row],[BD_2.BUYING PRIZE]]*Base_ventes[[#This Row],[QUANTITY]]</f>
        <v>913</v>
      </c>
      <c r="Q237">
        <f>Base_ventes[[#This Row],[Montant Vendu]]-Base_ventes[[#This Row],[Montant Acheté]]</f>
        <v>127.82000000000016</v>
      </c>
    </row>
    <row r="238" spans="1:17" x14ac:dyDescent="0.3">
      <c r="A238" s="1">
        <v>44521</v>
      </c>
      <c r="B238">
        <f>YEAR(Base_ventes[[#This Row],[DATE]])</f>
        <v>2021</v>
      </c>
      <c r="C238">
        <f>MONTH(Base_ventes[[#This Row],[DATE]])</f>
        <v>11</v>
      </c>
      <c r="D23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238" t="s">
        <v>33</v>
      </c>
      <c r="F238">
        <v>1</v>
      </c>
      <c r="G238" t="s">
        <v>81</v>
      </c>
      <c r="H238" t="s">
        <v>82</v>
      </c>
      <c r="I238">
        <v>77</v>
      </c>
      <c r="J238" t="s">
        <v>34</v>
      </c>
      <c r="K238" t="s">
        <v>26</v>
      </c>
      <c r="L238" t="s">
        <v>4</v>
      </c>
      <c r="M238">
        <v>112</v>
      </c>
      <c r="N238">
        <v>146.72</v>
      </c>
      <c r="O238">
        <f>Base_ventes[[#This Row],[BD_2.SELLING PRICE]]*Base_ventes[[#This Row],[QUANTITY]]</f>
        <v>146.72</v>
      </c>
      <c r="P238">
        <f>Base_ventes[[#This Row],[BD_2.BUYING PRIZE]]*Base_ventes[[#This Row],[QUANTITY]]</f>
        <v>112</v>
      </c>
      <c r="Q238">
        <f>Base_ventes[[#This Row],[Montant Vendu]]-Base_ventes[[#This Row],[Montant Acheté]]</f>
        <v>34.72</v>
      </c>
    </row>
    <row r="239" spans="1:17" x14ac:dyDescent="0.3">
      <c r="A239" s="1">
        <v>44521</v>
      </c>
      <c r="B239">
        <f>YEAR(Base_ventes[[#This Row],[DATE]])</f>
        <v>2021</v>
      </c>
      <c r="C239">
        <f>MONTH(Base_ventes[[#This Row],[DATE]])</f>
        <v>11</v>
      </c>
      <c r="D23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239" t="s">
        <v>15</v>
      </c>
      <c r="F239">
        <v>1</v>
      </c>
      <c r="G239" t="s">
        <v>82</v>
      </c>
      <c r="H239" t="s">
        <v>84</v>
      </c>
      <c r="I239">
        <v>68</v>
      </c>
      <c r="J239" t="s">
        <v>16</v>
      </c>
      <c r="K239" t="s">
        <v>3</v>
      </c>
      <c r="L239" t="s">
        <v>4</v>
      </c>
      <c r="M239">
        <v>75</v>
      </c>
      <c r="N239">
        <v>85.5</v>
      </c>
      <c r="O239">
        <f>Base_ventes[[#This Row],[BD_2.SELLING PRICE]]*Base_ventes[[#This Row],[QUANTITY]]</f>
        <v>85.5</v>
      </c>
      <c r="P239">
        <f>Base_ventes[[#This Row],[BD_2.BUYING PRIZE]]*Base_ventes[[#This Row],[QUANTITY]]</f>
        <v>75</v>
      </c>
      <c r="Q239">
        <f>Base_ventes[[#This Row],[Montant Vendu]]-Base_ventes[[#This Row],[Montant Acheté]]</f>
        <v>10.5</v>
      </c>
    </row>
    <row r="240" spans="1:17" x14ac:dyDescent="0.3">
      <c r="A240" s="1">
        <v>44527</v>
      </c>
      <c r="B240">
        <f>YEAR(Base_ventes[[#This Row],[DATE]])</f>
        <v>2021</v>
      </c>
      <c r="C240">
        <f>MONTH(Base_ventes[[#This Row],[DATE]])</f>
        <v>11</v>
      </c>
      <c r="D24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240" t="s">
        <v>29</v>
      </c>
      <c r="F240">
        <v>8</v>
      </c>
      <c r="G240" t="s">
        <v>82</v>
      </c>
      <c r="H240" t="s">
        <v>82</v>
      </c>
      <c r="I240">
        <v>63</v>
      </c>
      <c r="J240" t="s">
        <v>30</v>
      </c>
      <c r="K240" t="s">
        <v>26</v>
      </c>
      <c r="L240" t="s">
        <v>4</v>
      </c>
      <c r="M240">
        <v>73</v>
      </c>
      <c r="N240">
        <v>94.17</v>
      </c>
      <c r="O240">
        <f>Base_ventes[[#This Row],[BD_2.SELLING PRICE]]*Base_ventes[[#This Row],[QUANTITY]]</f>
        <v>753.36</v>
      </c>
      <c r="P240">
        <f>Base_ventes[[#This Row],[BD_2.BUYING PRIZE]]*Base_ventes[[#This Row],[QUANTITY]]</f>
        <v>584</v>
      </c>
      <c r="Q240">
        <f>Base_ventes[[#This Row],[Montant Vendu]]-Base_ventes[[#This Row],[Montant Acheté]]</f>
        <v>169.36</v>
      </c>
    </row>
    <row r="241" spans="1:17" x14ac:dyDescent="0.3">
      <c r="A241" s="1">
        <v>44528</v>
      </c>
      <c r="B241">
        <f>YEAR(Base_ventes[[#This Row],[DATE]])</f>
        <v>2021</v>
      </c>
      <c r="C241">
        <f>MONTH(Base_ventes[[#This Row],[DATE]])</f>
        <v>11</v>
      </c>
      <c r="D24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241" t="s">
        <v>102</v>
      </c>
      <c r="F241">
        <v>2</v>
      </c>
      <c r="G241" t="s">
        <v>87</v>
      </c>
      <c r="H241" t="s">
        <v>84</v>
      </c>
      <c r="I241">
        <v>20</v>
      </c>
      <c r="J241" t="s">
        <v>103</v>
      </c>
      <c r="K241" t="s">
        <v>86</v>
      </c>
      <c r="L241" t="s">
        <v>4</v>
      </c>
      <c r="M241">
        <v>90</v>
      </c>
      <c r="N241">
        <v>115.2</v>
      </c>
      <c r="O241">
        <f>Base_ventes[[#This Row],[BD_2.SELLING PRICE]]*Base_ventes[[#This Row],[QUANTITY]]</f>
        <v>230.4</v>
      </c>
      <c r="P241">
        <f>Base_ventes[[#This Row],[BD_2.BUYING PRIZE]]*Base_ventes[[#This Row],[QUANTITY]]</f>
        <v>180</v>
      </c>
      <c r="Q241">
        <f>Base_ventes[[#This Row],[Montant Vendu]]-Base_ventes[[#This Row],[Montant Acheté]]</f>
        <v>50.400000000000006</v>
      </c>
    </row>
    <row r="242" spans="1:17" x14ac:dyDescent="0.3">
      <c r="A242" s="1">
        <v>44530</v>
      </c>
      <c r="B242">
        <f>YEAR(Base_ventes[[#This Row],[DATE]])</f>
        <v>2021</v>
      </c>
      <c r="C242">
        <f>MONTH(Base_ventes[[#This Row],[DATE]])</f>
        <v>11</v>
      </c>
      <c r="D24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242" t="s">
        <v>100</v>
      </c>
      <c r="F242">
        <v>15</v>
      </c>
      <c r="G242" t="s">
        <v>87</v>
      </c>
      <c r="H242" t="s">
        <v>82</v>
      </c>
      <c r="I242">
        <v>71</v>
      </c>
      <c r="J242" t="s">
        <v>101</v>
      </c>
      <c r="K242" t="s">
        <v>86</v>
      </c>
      <c r="L242" t="s">
        <v>23</v>
      </c>
      <c r="M242">
        <v>37</v>
      </c>
      <c r="N242">
        <v>42.55</v>
      </c>
      <c r="O242">
        <f>Base_ventes[[#This Row],[BD_2.SELLING PRICE]]*Base_ventes[[#This Row],[QUANTITY]]</f>
        <v>638.25</v>
      </c>
      <c r="P242">
        <f>Base_ventes[[#This Row],[BD_2.BUYING PRIZE]]*Base_ventes[[#This Row],[QUANTITY]]</f>
        <v>555</v>
      </c>
      <c r="Q242">
        <f>Base_ventes[[#This Row],[Montant Vendu]]-Base_ventes[[#This Row],[Montant Acheté]]</f>
        <v>83.25</v>
      </c>
    </row>
    <row r="243" spans="1:17" x14ac:dyDescent="0.3">
      <c r="A243" s="1">
        <v>44532</v>
      </c>
      <c r="B243">
        <f>YEAR(Base_ventes[[#This Row],[DATE]])</f>
        <v>2021</v>
      </c>
      <c r="C243">
        <f>MONTH(Base_ventes[[#This Row],[DATE]])</f>
        <v>12</v>
      </c>
      <c r="D24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43" t="s">
        <v>37</v>
      </c>
      <c r="F243">
        <v>10</v>
      </c>
      <c r="G243" t="s">
        <v>87</v>
      </c>
      <c r="H243" t="s">
        <v>84</v>
      </c>
      <c r="I243">
        <v>75</v>
      </c>
      <c r="J243" t="s">
        <v>38</v>
      </c>
      <c r="K243" t="s">
        <v>26</v>
      </c>
      <c r="L243" t="s">
        <v>23</v>
      </c>
      <c r="M243">
        <v>13</v>
      </c>
      <c r="N243">
        <v>16.64</v>
      </c>
      <c r="O243">
        <f>Base_ventes[[#This Row],[BD_2.SELLING PRICE]]*Base_ventes[[#This Row],[QUANTITY]]</f>
        <v>166.4</v>
      </c>
      <c r="P243">
        <f>Base_ventes[[#This Row],[BD_2.BUYING PRIZE]]*Base_ventes[[#This Row],[QUANTITY]]</f>
        <v>130</v>
      </c>
      <c r="Q243">
        <f>Base_ventes[[#This Row],[Montant Vendu]]-Base_ventes[[#This Row],[Montant Acheté]]</f>
        <v>36.400000000000006</v>
      </c>
    </row>
    <row r="244" spans="1:17" x14ac:dyDescent="0.3">
      <c r="A244" s="1">
        <v>44533</v>
      </c>
      <c r="B244">
        <f>YEAR(Base_ventes[[#This Row],[DATE]])</f>
        <v>2021</v>
      </c>
      <c r="C244">
        <f>MONTH(Base_ventes[[#This Row],[DATE]])</f>
        <v>12</v>
      </c>
      <c r="D24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44" t="s">
        <v>94</v>
      </c>
      <c r="F244">
        <v>2</v>
      </c>
      <c r="G244" t="s">
        <v>82</v>
      </c>
      <c r="H244" t="s">
        <v>84</v>
      </c>
      <c r="I244">
        <v>26</v>
      </c>
      <c r="J244" t="s">
        <v>95</v>
      </c>
      <c r="K244" t="s">
        <v>60</v>
      </c>
      <c r="L244" t="s">
        <v>11</v>
      </c>
      <c r="M244">
        <v>55</v>
      </c>
      <c r="N244">
        <v>58.3</v>
      </c>
      <c r="O244">
        <f>Base_ventes[[#This Row],[BD_2.SELLING PRICE]]*Base_ventes[[#This Row],[QUANTITY]]</f>
        <v>116.6</v>
      </c>
      <c r="P244">
        <f>Base_ventes[[#This Row],[BD_2.BUYING PRIZE]]*Base_ventes[[#This Row],[QUANTITY]]</f>
        <v>110</v>
      </c>
      <c r="Q244">
        <f>Base_ventes[[#This Row],[Montant Vendu]]-Base_ventes[[#This Row],[Montant Acheté]]</f>
        <v>6.5999999999999943</v>
      </c>
    </row>
    <row r="245" spans="1:17" x14ac:dyDescent="0.3">
      <c r="A245" s="1">
        <v>44533</v>
      </c>
      <c r="B245">
        <f>YEAR(Base_ventes[[#This Row],[DATE]])</f>
        <v>2021</v>
      </c>
      <c r="C245">
        <f>MONTH(Base_ventes[[#This Row],[DATE]])</f>
        <v>12</v>
      </c>
      <c r="D24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45" t="s">
        <v>43</v>
      </c>
      <c r="F245">
        <v>8</v>
      </c>
      <c r="G245" t="s">
        <v>82</v>
      </c>
      <c r="H245" t="s">
        <v>82</v>
      </c>
      <c r="I245">
        <v>46</v>
      </c>
      <c r="J245" t="s">
        <v>44</v>
      </c>
      <c r="K245" t="s">
        <v>26</v>
      </c>
      <c r="L245" t="s">
        <v>14</v>
      </c>
      <c r="M245">
        <v>150</v>
      </c>
      <c r="N245">
        <v>210</v>
      </c>
      <c r="O245">
        <f>Base_ventes[[#This Row],[BD_2.SELLING PRICE]]*Base_ventes[[#This Row],[QUANTITY]]</f>
        <v>1680</v>
      </c>
      <c r="P245">
        <f>Base_ventes[[#This Row],[BD_2.BUYING PRIZE]]*Base_ventes[[#This Row],[QUANTITY]]</f>
        <v>1200</v>
      </c>
      <c r="Q245">
        <f>Base_ventes[[#This Row],[Montant Vendu]]-Base_ventes[[#This Row],[Montant Acheté]]</f>
        <v>480</v>
      </c>
    </row>
    <row r="246" spans="1:17" x14ac:dyDescent="0.3">
      <c r="A246" s="1">
        <v>44535</v>
      </c>
      <c r="B246">
        <f>YEAR(Base_ventes[[#This Row],[DATE]])</f>
        <v>2021</v>
      </c>
      <c r="C246">
        <f>MONTH(Base_ventes[[#This Row],[DATE]])</f>
        <v>12</v>
      </c>
      <c r="D24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46" t="s">
        <v>9</v>
      </c>
      <c r="F246">
        <v>15</v>
      </c>
      <c r="G246" t="s">
        <v>87</v>
      </c>
      <c r="H246" t="s">
        <v>84</v>
      </c>
      <c r="I246">
        <v>57</v>
      </c>
      <c r="J246" t="s">
        <v>10</v>
      </c>
      <c r="K246" t="s">
        <v>3</v>
      </c>
      <c r="L246" t="s">
        <v>11</v>
      </c>
      <c r="M246">
        <v>44</v>
      </c>
      <c r="N246">
        <v>48.84</v>
      </c>
      <c r="O246">
        <f>Base_ventes[[#This Row],[BD_2.SELLING PRICE]]*Base_ventes[[#This Row],[QUANTITY]]</f>
        <v>732.6</v>
      </c>
      <c r="P246">
        <f>Base_ventes[[#This Row],[BD_2.BUYING PRIZE]]*Base_ventes[[#This Row],[QUANTITY]]</f>
        <v>660</v>
      </c>
      <c r="Q246">
        <f>Base_ventes[[#This Row],[Montant Vendu]]-Base_ventes[[#This Row],[Montant Acheté]]</f>
        <v>72.600000000000023</v>
      </c>
    </row>
    <row r="247" spans="1:17" x14ac:dyDescent="0.3">
      <c r="A247" s="1">
        <v>44535</v>
      </c>
      <c r="B247">
        <f>YEAR(Base_ventes[[#This Row],[DATE]])</f>
        <v>2021</v>
      </c>
      <c r="C247">
        <f>MONTH(Base_ventes[[#This Row],[DATE]])</f>
        <v>12</v>
      </c>
      <c r="D24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47" t="s">
        <v>24</v>
      </c>
      <c r="F247">
        <v>1</v>
      </c>
      <c r="G247" t="s">
        <v>87</v>
      </c>
      <c r="H247" t="s">
        <v>82</v>
      </c>
      <c r="I247">
        <v>0</v>
      </c>
      <c r="J247" t="s">
        <v>25</v>
      </c>
      <c r="K247" t="s">
        <v>26</v>
      </c>
      <c r="L247" t="s">
        <v>14</v>
      </c>
      <c r="M247">
        <v>148</v>
      </c>
      <c r="N247">
        <v>164.28</v>
      </c>
      <c r="O247">
        <f>Base_ventes[[#This Row],[BD_2.SELLING PRICE]]*Base_ventes[[#This Row],[QUANTITY]]</f>
        <v>164.28</v>
      </c>
      <c r="P247">
        <f>Base_ventes[[#This Row],[BD_2.BUYING PRIZE]]*Base_ventes[[#This Row],[QUANTITY]]</f>
        <v>148</v>
      </c>
      <c r="Q247">
        <f>Base_ventes[[#This Row],[Montant Vendu]]-Base_ventes[[#This Row],[Montant Acheté]]</f>
        <v>16.28</v>
      </c>
    </row>
    <row r="248" spans="1:17" x14ac:dyDescent="0.3">
      <c r="A248" s="1">
        <v>44537</v>
      </c>
      <c r="B248">
        <f>YEAR(Base_ventes[[#This Row],[DATE]])</f>
        <v>2021</v>
      </c>
      <c r="C248">
        <f>MONTH(Base_ventes[[#This Row],[DATE]])</f>
        <v>12</v>
      </c>
      <c r="D24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48" t="s">
        <v>31</v>
      </c>
      <c r="F248">
        <v>8</v>
      </c>
      <c r="G248" t="s">
        <v>87</v>
      </c>
      <c r="H248" t="s">
        <v>82</v>
      </c>
      <c r="I248">
        <v>16</v>
      </c>
      <c r="J248" t="s">
        <v>32</v>
      </c>
      <c r="K248" t="s">
        <v>26</v>
      </c>
      <c r="L248" t="s">
        <v>4</v>
      </c>
      <c r="M248">
        <v>112</v>
      </c>
      <c r="N248">
        <v>122.08</v>
      </c>
      <c r="O248">
        <f>Base_ventes[[#This Row],[BD_2.SELLING PRICE]]*Base_ventes[[#This Row],[QUANTITY]]</f>
        <v>976.64</v>
      </c>
      <c r="P248">
        <f>Base_ventes[[#This Row],[BD_2.BUYING PRIZE]]*Base_ventes[[#This Row],[QUANTITY]]</f>
        <v>896</v>
      </c>
      <c r="Q248">
        <f>Base_ventes[[#This Row],[Montant Vendu]]-Base_ventes[[#This Row],[Montant Acheté]]</f>
        <v>80.639999999999986</v>
      </c>
    </row>
    <row r="249" spans="1:17" x14ac:dyDescent="0.3">
      <c r="A249" s="1">
        <v>44538</v>
      </c>
      <c r="B249">
        <f>YEAR(Base_ventes[[#This Row],[DATE]])</f>
        <v>2021</v>
      </c>
      <c r="C249">
        <f>MONTH(Base_ventes[[#This Row],[DATE]])</f>
        <v>12</v>
      </c>
      <c r="D24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49" t="s">
        <v>110</v>
      </c>
      <c r="F249">
        <v>14</v>
      </c>
      <c r="G249" t="s">
        <v>87</v>
      </c>
      <c r="H249" t="s">
        <v>82</v>
      </c>
      <c r="I249">
        <v>74</v>
      </c>
      <c r="J249" t="s">
        <v>111</v>
      </c>
      <c r="K249" t="s">
        <v>86</v>
      </c>
      <c r="L249" t="s">
        <v>4</v>
      </c>
      <c r="M249">
        <v>76</v>
      </c>
      <c r="N249">
        <v>82.08</v>
      </c>
      <c r="O249">
        <f>Base_ventes[[#This Row],[BD_2.SELLING PRICE]]*Base_ventes[[#This Row],[QUANTITY]]</f>
        <v>1149.1199999999999</v>
      </c>
      <c r="P249">
        <f>Base_ventes[[#This Row],[BD_2.BUYING PRIZE]]*Base_ventes[[#This Row],[QUANTITY]]</f>
        <v>1064</v>
      </c>
      <c r="Q249">
        <f>Base_ventes[[#This Row],[Montant Vendu]]-Base_ventes[[#This Row],[Montant Acheté]]</f>
        <v>85.119999999999891</v>
      </c>
    </row>
    <row r="250" spans="1:17" x14ac:dyDescent="0.3">
      <c r="A250" s="1">
        <v>44544</v>
      </c>
      <c r="B250">
        <f>YEAR(Base_ventes[[#This Row],[DATE]])</f>
        <v>2021</v>
      </c>
      <c r="C250">
        <f>MONTH(Base_ventes[[#This Row],[DATE]])</f>
        <v>12</v>
      </c>
      <c r="D25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50" t="s">
        <v>106</v>
      </c>
      <c r="F250">
        <v>4</v>
      </c>
      <c r="G250" t="s">
        <v>87</v>
      </c>
      <c r="H250" t="s">
        <v>82</v>
      </c>
      <c r="I250">
        <v>29</v>
      </c>
      <c r="J250" t="s">
        <v>107</v>
      </c>
      <c r="K250" t="s">
        <v>86</v>
      </c>
      <c r="L250" t="s">
        <v>14</v>
      </c>
      <c r="M250">
        <v>120</v>
      </c>
      <c r="N250">
        <v>162</v>
      </c>
      <c r="O250">
        <f>Base_ventes[[#This Row],[BD_2.SELLING PRICE]]*Base_ventes[[#This Row],[QUANTITY]]</f>
        <v>648</v>
      </c>
      <c r="P250">
        <f>Base_ventes[[#This Row],[BD_2.BUYING PRIZE]]*Base_ventes[[#This Row],[QUANTITY]]</f>
        <v>480</v>
      </c>
      <c r="Q250">
        <f>Base_ventes[[#This Row],[Montant Vendu]]-Base_ventes[[#This Row],[Montant Acheté]]</f>
        <v>168</v>
      </c>
    </row>
    <row r="251" spans="1:17" x14ac:dyDescent="0.3">
      <c r="A251" s="1">
        <v>44548</v>
      </c>
      <c r="B251">
        <f>YEAR(Base_ventes[[#This Row],[DATE]])</f>
        <v>2021</v>
      </c>
      <c r="C251">
        <f>MONTH(Base_ventes[[#This Row],[DATE]])</f>
        <v>12</v>
      </c>
      <c r="D25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51" t="s">
        <v>7</v>
      </c>
      <c r="F251">
        <v>2</v>
      </c>
      <c r="G251" t="s">
        <v>87</v>
      </c>
      <c r="H251" t="s">
        <v>84</v>
      </c>
      <c r="I251">
        <v>29</v>
      </c>
      <c r="J251" t="s">
        <v>8</v>
      </c>
      <c r="K251" t="s">
        <v>3</v>
      </c>
      <c r="L251" t="s">
        <v>4</v>
      </c>
      <c r="M251">
        <v>71</v>
      </c>
      <c r="N251">
        <v>80.94</v>
      </c>
      <c r="O251">
        <f>Base_ventes[[#This Row],[BD_2.SELLING PRICE]]*Base_ventes[[#This Row],[QUANTITY]]</f>
        <v>161.88</v>
      </c>
      <c r="P251">
        <f>Base_ventes[[#This Row],[BD_2.BUYING PRIZE]]*Base_ventes[[#This Row],[QUANTITY]]</f>
        <v>142</v>
      </c>
      <c r="Q251">
        <f>Base_ventes[[#This Row],[Montant Vendu]]-Base_ventes[[#This Row],[Montant Acheté]]</f>
        <v>19.879999999999995</v>
      </c>
    </row>
    <row r="252" spans="1:17" x14ac:dyDescent="0.3">
      <c r="A252" s="1">
        <v>44548</v>
      </c>
      <c r="B252">
        <f>YEAR(Base_ventes[[#This Row],[DATE]])</f>
        <v>2021</v>
      </c>
      <c r="C252">
        <f>MONTH(Base_ventes[[#This Row],[DATE]])</f>
        <v>12</v>
      </c>
      <c r="D25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52" t="s">
        <v>50</v>
      </c>
      <c r="F252">
        <v>8</v>
      </c>
      <c r="G252" t="s">
        <v>82</v>
      </c>
      <c r="H252" t="s">
        <v>84</v>
      </c>
      <c r="I252">
        <v>73</v>
      </c>
      <c r="J252" t="s">
        <v>51</v>
      </c>
      <c r="K252" t="s">
        <v>47</v>
      </c>
      <c r="L252" t="s">
        <v>14</v>
      </c>
      <c r="M252">
        <v>121</v>
      </c>
      <c r="N252">
        <v>141.57</v>
      </c>
      <c r="O252">
        <f>Base_ventes[[#This Row],[BD_2.SELLING PRICE]]*Base_ventes[[#This Row],[QUANTITY]]</f>
        <v>1132.56</v>
      </c>
      <c r="P252">
        <f>Base_ventes[[#This Row],[BD_2.BUYING PRIZE]]*Base_ventes[[#This Row],[QUANTITY]]</f>
        <v>968</v>
      </c>
      <c r="Q252">
        <f>Base_ventes[[#This Row],[Montant Vendu]]-Base_ventes[[#This Row],[Montant Acheté]]</f>
        <v>164.55999999999995</v>
      </c>
    </row>
    <row r="253" spans="1:17" x14ac:dyDescent="0.3">
      <c r="A253" s="1">
        <v>44549</v>
      </c>
      <c r="B253">
        <f>YEAR(Base_ventes[[#This Row],[DATE]])</f>
        <v>2021</v>
      </c>
      <c r="C253">
        <f>MONTH(Base_ventes[[#This Row],[DATE]])</f>
        <v>12</v>
      </c>
      <c r="D25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53" t="s">
        <v>52</v>
      </c>
      <c r="F253">
        <v>12</v>
      </c>
      <c r="G253" t="s">
        <v>87</v>
      </c>
      <c r="H253" t="s">
        <v>82</v>
      </c>
      <c r="I253">
        <v>10</v>
      </c>
      <c r="J253" t="s">
        <v>53</v>
      </c>
      <c r="K253" t="s">
        <v>47</v>
      </c>
      <c r="L253" t="s">
        <v>14</v>
      </c>
      <c r="M253">
        <v>141</v>
      </c>
      <c r="N253">
        <v>149.46</v>
      </c>
      <c r="O253">
        <f>Base_ventes[[#This Row],[BD_2.SELLING PRICE]]*Base_ventes[[#This Row],[QUANTITY]]</f>
        <v>1793.52</v>
      </c>
      <c r="P253">
        <f>Base_ventes[[#This Row],[BD_2.BUYING PRIZE]]*Base_ventes[[#This Row],[QUANTITY]]</f>
        <v>1692</v>
      </c>
      <c r="Q253">
        <f>Base_ventes[[#This Row],[Montant Vendu]]-Base_ventes[[#This Row],[Montant Acheté]]</f>
        <v>101.51999999999998</v>
      </c>
    </row>
    <row r="254" spans="1:17" x14ac:dyDescent="0.3">
      <c r="A254" s="1">
        <v>44549</v>
      </c>
      <c r="B254">
        <f>YEAR(Base_ventes[[#This Row],[DATE]])</f>
        <v>2021</v>
      </c>
      <c r="C254">
        <f>MONTH(Base_ventes[[#This Row],[DATE]])</f>
        <v>12</v>
      </c>
      <c r="D25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54" t="s">
        <v>65</v>
      </c>
      <c r="F254">
        <v>3</v>
      </c>
      <c r="G254" t="s">
        <v>81</v>
      </c>
      <c r="H254" t="s">
        <v>82</v>
      </c>
      <c r="I254">
        <v>68</v>
      </c>
      <c r="J254" t="s">
        <v>66</v>
      </c>
      <c r="K254" t="s">
        <v>60</v>
      </c>
      <c r="L254" t="s">
        <v>11</v>
      </c>
      <c r="M254">
        <v>47</v>
      </c>
      <c r="N254">
        <v>53.11</v>
      </c>
      <c r="O254">
        <f>Base_ventes[[#This Row],[BD_2.SELLING PRICE]]*Base_ventes[[#This Row],[QUANTITY]]</f>
        <v>159.32999999999998</v>
      </c>
      <c r="P254">
        <f>Base_ventes[[#This Row],[BD_2.BUYING PRIZE]]*Base_ventes[[#This Row],[QUANTITY]]</f>
        <v>141</v>
      </c>
      <c r="Q254">
        <f>Base_ventes[[#This Row],[Montant Vendu]]-Base_ventes[[#This Row],[Montant Acheté]]</f>
        <v>18.329999999999984</v>
      </c>
    </row>
    <row r="255" spans="1:17" x14ac:dyDescent="0.3">
      <c r="A255" s="1">
        <v>44549</v>
      </c>
      <c r="B255">
        <f>YEAR(Base_ventes[[#This Row],[DATE]])</f>
        <v>2021</v>
      </c>
      <c r="C255">
        <f>MONTH(Base_ventes[[#This Row],[DATE]])</f>
        <v>12</v>
      </c>
      <c r="D25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55" t="s">
        <v>27</v>
      </c>
      <c r="F255">
        <v>10</v>
      </c>
      <c r="G255" t="s">
        <v>82</v>
      </c>
      <c r="H255" t="s">
        <v>82</v>
      </c>
      <c r="I255">
        <v>45</v>
      </c>
      <c r="J255" t="s">
        <v>28</v>
      </c>
      <c r="K255" t="s">
        <v>26</v>
      </c>
      <c r="L255" t="s">
        <v>11</v>
      </c>
      <c r="M255">
        <v>44</v>
      </c>
      <c r="N255">
        <v>48.4</v>
      </c>
      <c r="O255">
        <f>Base_ventes[[#This Row],[BD_2.SELLING PRICE]]*Base_ventes[[#This Row],[QUANTITY]]</f>
        <v>484</v>
      </c>
      <c r="P255">
        <f>Base_ventes[[#This Row],[BD_2.BUYING PRIZE]]*Base_ventes[[#This Row],[QUANTITY]]</f>
        <v>440</v>
      </c>
      <c r="Q255">
        <f>Base_ventes[[#This Row],[Montant Vendu]]-Base_ventes[[#This Row],[Montant Acheté]]</f>
        <v>44</v>
      </c>
    </row>
    <row r="256" spans="1:17" x14ac:dyDescent="0.3">
      <c r="A256" s="1">
        <v>44550</v>
      </c>
      <c r="B256">
        <f>YEAR(Base_ventes[[#This Row],[DATE]])</f>
        <v>2021</v>
      </c>
      <c r="C256">
        <f>MONTH(Base_ventes[[#This Row],[DATE]])</f>
        <v>12</v>
      </c>
      <c r="D25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56" t="s">
        <v>29</v>
      </c>
      <c r="F256">
        <v>14</v>
      </c>
      <c r="G256" t="s">
        <v>87</v>
      </c>
      <c r="H256" t="s">
        <v>82</v>
      </c>
      <c r="I256">
        <v>50</v>
      </c>
      <c r="J256" t="s">
        <v>30</v>
      </c>
      <c r="K256" t="s">
        <v>26</v>
      </c>
      <c r="L256" t="s">
        <v>4</v>
      </c>
      <c r="M256">
        <v>73</v>
      </c>
      <c r="N256">
        <v>94.17</v>
      </c>
      <c r="O256">
        <f>Base_ventes[[#This Row],[BD_2.SELLING PRICE]]*Base_ventes[[#This Row],[QUANTITY]]</f>
        <v>1318.38</v>
      </c>
      <c r="P256">
        <f>Base_ventes[[#This Row],[BD_2.BUYING PRIZE]]*Base_ventes[[#This Row],[QUANTITY]]</f>
        <v>1022</v>
      </c>
      <c r="Q256">
        <f>Base_ventes[[#This Row],[Montant Vendu]]-Base_ventes[[#This Row],[Montant Acheté]]</f>
        <v>296.38000000000011</v>
      </c>
    </row>
    <row r="257" spans="1:17" x14ac:dyDescent="0.3">
      <c r="A257" s="1">
        <v>44551</v>
      </c>
      <c r="B257">
        <f>YEAR(Base_ventes[[#This Row],[DATE]])</f>
        <v>2021</v>
      </c>
      <c r="C257">
        <f>MONTH(Base_ventes[[#This Row],[DATE]])</f>
        <v>12</v>
      </c>
      <c r="D25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57" t="s">
        <v>58</v>
      </c>
      <c r="F257">
        <v>10</v>
      </c>
      <c r="G257" t="s">
        <v>82</v>
      </c>
      <c r="H257" t="s">
        <v>84</v>
      </c>
      <c r="I257">
        <v>20</v>
      </c>
      <c r="J257" t="s">
        <v>59</v>
      </c>
      <c r="K257" t="s">
        <v>60</v>
      </c>
      <c r="L257" t="s">
        <v>23</v>
      </c>
      <c r="M257">
        <v>18</v>
      </c>
      <c r="N257">
        <v>24.66</v>
      </c>
      <c r="O257">
        <f>Base_ventes[[#This Row],[BD_2.SELLING PRICE]]*Base_ventes[[#This Row],[QUANTITY]]</f>
        <v>246.6</v>
      </c>
      <c r="P257">
        <f>Base_ventes[[#This Row],[BD_2.BUYING PRIZE]]*Base_ventes[[#This Row],[QUANTITY]]</f>
        <v>180</v>
      </c>
      <c r="Q257">
        <f>Base_ventes[[#This Row],[Montant Vendu]]-Base_ventes[[#This Row],[Montant Acheté]]</f>
        <v>66.599999999999994</v>
      </c>
    </row>
    <row r="258" spans="1:17" x14ac:dyDescent="0.3">
      <c r="A258" s="1">
        <v>44554</v>
      </c>
      <c r="B258">
        <f>YEAR(Base_ventes[[#This Row],[DATE]])</f>
        <v>2021</v>
      </c>
      <c r="C258">
        <f>MONTH(Base_ventes[[#This Row],[DATE]])</f>
        <v>12</v>
      </c>
      <c r="D25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58" t="s">
        <v>106</v>
      </c>
      <c r="F258">
        <v>8</v>
      </c>
      <c r="G258" t="s">
        <v>81</v>
      </c>
      <c r="H258" t="s">
        <v>84</v>
      </c>
      <c r="I258">
        <v>7</v>
      </c>
      <c r="J258" t="s">
        <v>107</v>
      </c>
      <c r="K258" t="s">
        <v>86</v>
      </c>
      <c r="L258" t="s">
        <v>14</v>
      </c>
      <c r="M258">
        <v>120</v>
      </c>
      <c r="N258">
        <v>162</v>
      </c>
      <c r="O258">
        <f>Base_ventes[[#This Row],[BD_2.SELLING PRICE]]*Base_ventes[[#This Row],[QUANTITY]]</f>
        <v>1296</v>
      </c>
      <c r="P258">
        <f>Base_ventes[[#This Row],[BD_2.BUYING PRIZE]]*Base_ventes[[#This Row],[QUANTITY]]</f>
        <v>960</v>
      </c>
      <c r="Q258">
        <f>Base_ventes[[#This Row],[Montant Vendu]]-Base_ventes[[#This Row],[Montant Acheté]]</f>
        <v>336</v>
      </c>
    </row>
    <row r="259" spans="1:17" x14ac:dyDescent="0.3">
      <c r="A259" s="1">
        <v>44554</v>
      </c>
      <c r="B259">
        <f>YEAR(Base_ventes[[#This Row],[DATE]])</f>
        <v>2021</v>
      </c>
      <c r="C259">
        <f>MONTH(Base_ventes[[#This Row],[DATE]])</f>
        <v>12</v>
      </c>
      <c r="D25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59" t="s">
        <v>96</v>
      </c>
      <c r="F259">
        <v>8</v>
      </c>
      <c r="G259" t="s">
        <v>81</v>
      </c>
      <c r="H259" t="s">
        <v>82</v>
      </c>
      <c r="I259">
        <v>63</v>
      </c>
      <c r="J259" t="s">
        <v>97</v>
      </c>
      <c r="K259" t="s">
        <v>60</v>
      </c>
      <c r="L259" t="s">
        <v>4</v>
      </c>
      <c r="M259">
        <v>90</v>
      </c>
      <c r="N259">
        <v>96.3</v>
      </c>
      <c r="O259">
        <f>Base_ventes[[#This Row],[BD_2.SELLING PRICE]]*Base_ventes[[#This Row],[QUANTITY]]</f>
        <v>770.4</v>
      </c>
      <c r="P259">
        <f>Base_ventes[[#This Row],[BD_2.BUYING PRIZE]]*Base_ventes[[#This Row],[QUANTITY]]</f>
        <v>720</v>
      </c>
      <c r="Q259">
        <f>Base_ventes[[#This Row],[Montant Vendu]]-Base_ventes[[#This Row],[Montant Acheté]]</f>
        <v>50.399999999999977</v>
      </c>
    </row>
    <row r="260" spans="1:17" x14ac:dyDescent="0.3">
      <c r="A260" s="1">
        <v>44556</v>
      </c>
      <c r="B260">
        <f>YEAR(Base_ventes[[#This Row],[DATE]])</f>
        <v>2021</v>
      </c>
      <c r="C260">
        <f>MONTH(Base_ventes[[#This Row],[DATE]])</f>
        <v>12</v>
      </c>
      <c r="D26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60" t="s">
        <v>104</v>
      </c>
      <c r="F260">
        <v>14</v>
      </c>
      <c r="G260" t="s">
        <v>82</v>
      </c>
      <c r="H260" t="s">
        <v>84</v>
      </c>
      <c r="I260">
        <v>9</v>
      </c>
      <c r="J260" t="s">
        <v>105</v>
      </c>
      <c r="K260" t="s">
        <v>86</v>
      </c>
      <c r="L260" t="s">
        <v>14</v>
      </c>
      <c r="M260">
        <v>138</v>
      </c>
      <c r="N260">
        <v>173.88</v>
      </c>
      <c r="O260">
        <f>Base_ventes[[#This Row],[BD_2.SELLING PRICE]]*Base_ventes[[#This Row],[QUANTITY]]</f>
        <v>2434.3199999999997</v>
      </c>
      <c r="P260">
        <f>Base_ventes[[#This Row],[BD_2.BUYING PRIZE]]*Base_ventes[[#This Row],[QUANTITY]]</f>
        <v>1932</v>
      </c>
      <c r="Q260">
        <f>Base_ventes[[#This Row],[Montant Vendu]]-Base_ventes[[#This Row],[Montant Acheté]]</f>
        <v>502.31999999999971</v>
      </c>
    </row>
    <row r="261" spans="1:17" x14ac:dyDescent="0.3">
      <c r="A261" s="1">
        <v>44557</v>
      </c>
      <c r="B261">
        <f>YEAR(Base_ventes[[#This Row],[DATE]])</f>
        <v>2021</v>
      </c>
      <c r="C261">
        <f>MONTH(Base_ventes[[#This Row],[DATE]])</f>
        <v>12</v>
      </c>
      <c r="D26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61" t="s">
        <v>65</v>
      </c>
      <c r="F261">
        <v>14</v>
      </c>
      <c r="G261" t="s">
        <v>87</v>
      </c>
      <c r="H261" t="s">
        <v>84</v>
      </c>
      <c r="I261">
        <v>19</v>
      </c>
      <c r="J261" t="s">
        <v>66</v>
      </c>
      <c r="K261" t="s">
        <v>60</v>
      </c>
      <c r="L261" t="s">
        <v>11</v>
      </c>
      <c r="M261">
        <v>47</v>
      </c>
      <c r="N261">
        <v>53.11</v>
      </c>
      <c r="O261">
        <f>Base_ventes[[#This Row],[BD_2.SELLING PRICE]]*Base_ventes[[#This Row],[QUANTITY]]</f>
        <v>743.54</v>
      </c>
      <c r="P261">
        <f>Base_ventes[[#This Row],[BD_2.BUYING PRIZE]]*Base_ventes[[#This Row],[QUANTITY]]</f>
        <v>658</v>
      </c>
      <c r="Q261">
        <f>Base_ventes[[#This Row],[Montant Vendu]]-Base_ventes[[#This Row],[Montant Acheté]]</f>
        <v>85.539999999999964</v>
      </c>
    </row>
    <row r="262" spans="1:17" x14ac:dyDescent="0.3">
      <c r="A262" s="1">
        <v>44558</v>
      </c>
      <c r="B262">
        <f>YEAR(Base_ventes[[#This Row],[DATE]])</f>
        <v>2021</v>
      </c>
      <c r="C262">
        <f>MONTH(Base_ventes[[#This Row],[DATE]])</f>
        <v>12</v>
      </c>
      <c r="D26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62" t="s">
        <v>65</v>
      </c>
      <c r="F262">
        <v>6</v>
      </c>
      <c r="G262" t="s">
        <v>87</v>
      </c>
      <c r="H262" t="s">
        <v>84</v>
      </c>
      <c r="I262">
        <v>46</v>
      </c>
      <c r="J262" t="s">
        <v>66</v>
      </c>
      <c r="K262" t="s">
        <v>60</v>
      </c>
      <c r="L262" t="s">
        <v>11</v>
      </c>
      <c r="M262">
        <v>47</v>
      </c>
      <c r="N262">
        <v>53.11</v>
      </c>
      <c r="O262">
        <f>Base_ventes[[#This Row],[BD_2.SELLING PRICE]]*Base_ventes[[#This Row],[QUANTITY]]</f>
        <v>318.65999999999997</v>
      </c>
      <c r="P262">
        <f>Base_ventes[[#This Row],[BD_2.BUYING PRIZE]]*Base_ventes[[#This Row],[QUANTITY]]</f>
        <v>282</v>
      </c>
      <c r="Q262">
        <f>Base_ventes[[#This Row],[Montant Vendu]]-Base_ventes[[#This Row],[Montant Acheté]]</f>
        <v>36.659999999999968</v>
      </c>
    </row>
    <row r="263" spans="1:17" x14ac:dyDescent="0.3">
      <c r="A263" s="1">
        <v>44560</v>
      </c>
      <c r="B263">
        <f>YEAR(Base_ventes[[#This Row],[DATE]])</f>
        <v>2021</v>
      </c>
      <c r="C263">
        <f>MONTH(Base_ventes[[#This Row],[DATE]])</f>
        <v>12</v>
      </c>
      <c r="D26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263" t="s">
        <v>24</v>
      </c>
      <c r="F263">
        <v>13</v>
      </c>
      <c r="G263" t="s">
        <v>82</v>
      </c>
      <c r="H263" t="s">
        <v>82</v>
      </c>
      <c r="I263">
        <v>86</v>
      </c>
      <c r="J263" t="s">
        <v>25</v>
      </c>
      <c r="K263" t="s">
        <v>26</v>
      </c>
      <c r="L263" t="s">
        <v>14</v>
      </c>
      <c r="M263">
        <v>148</v>
      </c>
      <c r="N263">
        <v>164.28</v>
      </c>
      <c r="O263">
        <f>Base_ventes[[#This Row],[BD_2.SELLING PRICE]]*Base_ventes[[#This Row],[QUANTITY]]</f>
        <v>2135.64</v>
      </c>
      <c r="P263">
        <f>Base_ventes[[#This Row],[BD_2.BUYING PRIZE]]*Base_ventes[[#This Row],[QUANTITY]]</f>
        <v>1924</v>
      </c>
      <c r="Q263">
        <f>Base_ventes[[#This Row],[Montant Vendu]]-Base_ventes[[#This Row],[Montant Acheté]]</f>
        <v>211.63999999999987</v>
      </c>
    </row>
    <row r="264" spans="1:17" x14ac:dyDescent="0.3">
      <c r="A264" s="1">
        <v>44562</v>
      </c>
      <c r="B264">
        <f>YEAR(Base_ventes[[#This Row],[DATE]])</f>
        <v>2022</v>
      </c>
      <c r="C264">
        <f>MONTH(Base_ventes[[#This Row],[DATE]])</f>
        <v>1</v>
      </c>
      <c r="D26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64" t="s">
        <v>50</v>
      </c>
      <c r="F264">
        <v>1</v>
      </c>
      <c r="G264" t="s">
        <v>81</v>
      </c>
      <c r="H264" t="s">
        <v>84</v>
      </c>
      <c r="I264">
        <v>19</v>
      </c>
      <c r="J264" t="s">
        <v>51</v>
      </c>
      <c r="K264" t="s">
        <v>47</v>
      </c>
      <c r="L264" t="s">
        <v>14</v>
      </c>
      <c r="M264">
        <v>121</v>
      </c>
      <c r="N264">
        <v>141.57</v>
      </c>
      <c r="O264">
        <f>Base_ventes[[#This Row],[BD_2.SELLING PRICE]]*Base_ventes[[#This Row],[QUANTITY]]</f>
        <v>141.57</v>
      </c>
      <c r="P264">
        <f>Base_ventes[[#This Row],[BD_2.BUYING PRIZE]]*Base_ventes[[#This Row],[QUANTITY]]</f>
        <v>121</v>
      </c>
      <c r="Q264">
        <f>Base_ventes[[#This Row],[Montant Vendu]]-Base_ventes[[#This Row],[Montant Acheté]]</f>
        <v>20.569999999999993</v>
      </c>
    </row>
    <row r="265" spans="1:17" x14ac:dyDescent="0.3">
      <c r="A265" s="1">
        <v>44563</v>
      </c>
      <c r="B265">
        <f>YEAR(Base_ventes[[#This Row],[DATE]])</f>
        <v>2022</v>
      </c>
      <c r="C265">
        <f>MONTH(Base_ventes[[#This Row],[DATE]])</f>
        <v>1</v>
      </c>
      <c r="D26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65" t="s">
        <v>24</v>
      </c>
      <c r="F265">
        <v>7</v>
      </c>
      <c r="G265" t="s">
        <v>87</v>
      </c>
      <c r="H265" t="s">
        <v>84</v>
      </c>
      <c r="I265">
        <v>81</v>
      </c>
      <c r="J265" t="s">
        <v>25</v>
      </c>
      <c r="K265" t="s">
        <v>26</v>
      </c>
      <c r="L265" t="s">
        <v>14</v>
      </c>
      <c r="M265">
        <v>148</v>
      </c>
      <c r="N265">
        <v>164.28</v>
      </c>
      <c r="O265">
        <f>Base_ventes[[#This Row],[BD_2.SELLING PRICE]]*Base_ventes[[#This Row],[QUANTITY]]</f>
        <v>1149.96</v>
      </c>
      <c r="P265">
        <f>Base_ventes[[#This Row],[BD_2.BUYING PRIZE]]*Base_ventes[[#This Row],[QUANTITY]]</f>
        <v>1036</v>
      </c>
      <c r="Q265">
        <f>Base_ventes[[#This Row],[Montant Vendu]]-Base_ventes[[#This Row],[Montant Acheté]]</f>
        <v>113.96000000000004</v>
      </c>
    </row>
    <row r="266" spans="1:17" x14ac:dyDescent="0.3">
      <c r="A266" s="1">
        <v>44563</v>
      </c>
      <c r="B266">
        <f>YEAR(Base_ventes[[#This Row],[DATE]])</f>
        <v>2022</v>
      </c>
      <c r="C266">
        <f>MONTH(Base_ventes[[#This Row],[DATE]])</f>
        <v>1</v>
      </c>
      <c r="D26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66" t="s">
        <v>35</v>
      </c>
      <c r="F266">
        <v>2</v>
      </c>
      <c r="G266" t="s">
        <v>82</v>
      </c>
      <c r="H266" t="s">
        <v>84</v>
      </c>
      <c r="I266">
        <v>51</v>
      </c>
      <c r="J266" t="s">
        <v>36</v>
      </c>
      <c r="K266" t="s">
        <v>26</v>
      </c>
      <c r="L266" t="s">
        <v>23</v>
      </c>
      <c r="M266">
        <v>12</v>
      </c>
      <c r="N266">
        <v>15.719999999999999</v>
      </c>
      <c r="O266">
        <f>Base_ventes[[#This Row],[BD_2.SELLING PRICE]]*Base_ventes[[#This Row],[QUANTITY]]</f>
        <v>31.439999999999998</v>
      </c>
      <c r="P266">
        <f>Base_ventes[[#This Row],[BD_2.BUYING PRIZE]]*Base_ventes[[#This Row],[QUANTITY]]</f>
        <v>24</v>
      </c>
      <c r="Q266">
        <f>Base_ventes[[#This Row],[Montant Vendu]]-Base_ventes[[#This Row],[Montant Acheté]]</f>
        <v>7.4399999999999977</v>
      </c>
    </row>
    <row r="267" spans="1:17" x14ac:dyDescent="0.3">
      <c r="A267" s="1">
        <v>44563</v>
      </c>
      <c r="B267">
        <f>YEAR(Base_ventes[[#This Row],[DATE]])</f>
        <v>2022</v>
      </c>
      <c r="C267">
        <f>MONTH(Base_ventes[[#This Row],[DATE]])</f>
        <v>1</v>
      </c>
      <c r="D26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67" t="s">
        <v>92</v>
      </c>
      <c r="F267">
        <v>1</v>
      </c>
      <c r="G267" t="s">
        <v>87</v>
      </c>
      <c r="H267" t="s">
        <v>84</v>
      </c>
      <c r="I267">
        <v>46</v>
      </c>
      <c r="J267" t="s">
        <v>93</v>
      </c>
      <c r="K267" t="s">
        <v>60</v>
      </c>
      <c r="L267" t="s">
        <v>4</v>
      </c>
      <c r="M267">
        <v>95</v>
      </c>
      <c r="N267">
        <v>119.7</v>
      </c>
      <c r="O267">
        <f>Base_ventes[[#This Row],[BD_2.SELLING PRICE]]*Base_ventes[[#This Row],[QUANTITY]]</f>
        <v>119.7</v>
      </c>
      <c r="P267">
        <f>Base_ventes[[#This Row],[BD_2.BUYING PRIZE]]*Base_ventes[[#This Row],[QUANTITY]]</f>
        <v>95</v>
      </c>
      <c r="Q267">
        <f>Base_ventes[[#This Row],[Montant Vendu]]-Base_ventes[[#This Row],[Montant Acheté]]</f>
        <v>24.700000000000003</v>
      </c>
    </row>
    <row r="268" spans="1:17" x14ac:dyDescent="0.3">
      <c r="A268" s="1">
        <v>44564</v>
      </c>
      <c r="B268">
        <f>YEAR(Base_ventes[[#This Row],[DATE]])</f>
        <v>2022</v>
      </c>
      <c r="C268">
        <f>MONTH(Base_ventes[[#This Row],[DATE]])</f>
        <v>1</v>
      </c>
      <c r="D26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68" t="s">
        <v>108</v>
      </c>
      <c r="F268">
        <v>9</v>
      </c>
      <c r="G268" t="s">
        <v>87</v>
      </c>
      <c r="H268" t="s">
        <v>84</v>
      </c>
      <c r="I268">
        <v>2</v>
      </c>
      <c r="J268" t="s">
        <v>109</v>
      </c>
      <c r="K268" t="s">
        <v>86</v>
      </c>
      <c r="L268" t="s">
        <v>4</v>
      </c>
      <c r="M268">
        <v>67</v>
      </c>
      <c r="N268">
        <v>83.08</v>
      </c>
      <c r="O268">
        <f>Base_ventes[[#This Row],[BD_2.SELLING PRICE]]*Base_ventes[[#This Row],[QUANTITY]]</f>
        <v>747.72</v>
      </c>
      <c r="P268">
        <f>Base_ventes[[#This Row],[BD_2.BUYING PRIZE]]*Base_ventes[[#This Row],[QUANTITY]]</f>
        <v>603</v>
      </c>
      <c r="Q268">
        <f>Base_ventes[[#This Row],[Montant Vendu]]-Base_ventes[[#This Row],[Montant Acheté]]</f>
        <v>144.72000000000003</v>
      </c>
    </row>
    <row r="269" spans="1:17" x14ac:dyDescent="0.3">
      <c r="A269" s="1">
        <v>44565</v>
      </c>
      <c r="B269">
        <f>YEAR(Base_ventes[[#This Row],[DATE]])</f>
        <v>2022</v>
      </c>
      <c r="C269">
        <f>MONTH(Base_ventes[[#This Row],[DATE]])</f>
        <v>1</v>
      </c>
      <c r="D26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69" t="s">
        <v>29</v>
      </c>
      <c r="F269">
        <v>8</v>
      </c>
      <c r="G269" t="s">
        <v>87</v>
      </c>
      <c r="H269" t="s">
        <v>82</v>
      </c>
      <c r="I269">
        <v>27</v>
      </c>
      <c r="J269" t="s">
        <v>30</v>
      </c>
      <c r="K269" t="s">
        <v>26</v>
      </c>
      <c r="L269" t="s">
        <v>4</v>
      </c>
      <c r="M269">
        <v>73</v>
      </c>
      <c r="N269">
        <v>94.17</v>
      </c>
      <c r="O269">
        <f>Base_ventes[[#This Row],[BD_2.SELLING PRICE]]*Base_ventes[[#This Row],[QUANTITY]]</f>
        <v>753.36</v>
      </c>
      <c r="P269">
        <f>Base_ventes[[#This Row],[BD_2.BUYING PRIZE]]*Base_ventes[[#This Row],[QUANTITY]]</f>
        <v>584</v>
      </c>
      <c r="Q269">
        <f>Base_ventes[[#This Row],[Montant Vendu]]-Base_ventes[[#This Row],[Montant Acheté]]</f>
        <v>169.36</v>
      </c>
    </row>
    <row r="270" spans="1:17" x14ac:dyDescent="0.3">
      <c r="A270" s="1">
        <v>44565</v>
      </c>
      <c r="B270">
        <f>YEAR(Base_ventes[[#This Row],[DATE]])</f>
        <v>2022</v>
      </c>
      <c r="C270">
        <f>MONTH(Base_ventes[[#This Row],[DATE]])</f>
        <v>1</v>
      </c>
      <c r="D27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70" t="s">
        <v>65</v>
      </c>
      <c r="F270">
        <v>1</v>
      </c>
      <c r="G270" t="s">
        <v>82</v>
      </c>
      <c r="H270" t="s">
        <v>82</v>
      </c>
      <c r="I270">
        <v>40</v>
      </c>
      <c r="J270" t="s">
        <v>66</v>
      </c>
      <c r="K270" t="s">
        <v>60</v>
      </c>
      <c r="L270" t="s">
        <v>11</v>
      </c>
      <c r="M270">
        <v>47</v>
      </c>
      <c r="N270">
        <v>53.11</v>
      </c>
      <c r="O270">
        <f>Base_ventes[[#This Row],[BD_2.SELLING PRICE]]*Base_ventes[[#This Row],[QUANTITY]]</f>
        <v>53.11</v>
      </c>
      <c r="P270">
        <f>Base_ventes[[#This Row],[BD_2.BUYING PRIZE]]*Base_ventes[[#This Row],[QUANTITY]]</f>
        <v>47</v>
      </c>
      <c r="Q270">
        <f>Base_ventes[[#This Row],[Montant Vendu]]-Base_ventes[[#This Row],[Montant Acheté]]</f>
        <v>6.1099999999999994</v>
      </c>
    </row>
    <row r="271" spans="1:17" x14ac:dyDescent="0.3">
      <c r="A271" s="1">
        <v>44570</v>
      </c>
      <c r="B271">
        <f>YEAR(Base_ventes[[#This Row],[DATE]])</f>
        <v>2022</v>
      </c>
      <c r="C271">
        <f>MONTH(Base_ventes[[#This Row],[DATE]])</f>
        <v>1</v>
      </c>
      <c r="D27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71" t="s">
        <v>90</v>
      </c>
      <c r="F271">
        <v>12</v>
      </c>
      <c r="G271" t="s">
        <v>87</v>
      </c>
      <c r="H271" t="s">
        <v>82</v>
      </c>
      <c r="I271">
        <v>77</v>
      </c>
      <c r="J271" t="s">
        <v>91</v>
      </c>
      <c r="K271" t="s">
        <v>60</v>
      </c>
      <c r="L271" t="s">
        <v>4</v>
      </c>
      <c r="M271">
        <v>89</v>
      </c>
      <c r="N271">
        <v>117.48</v>
      </c>
      <c r="O271">
        <f>Base_ventes[[#This Row],[BD_2.SELLING PRICE]]*Base_ventes[[#This Row],[QUANTITY]]</f>
        <v>1409.76</v>
      </c>
      <c r="P271">
        <f>Base_ventes[[#This Row],[BD_2.BUYING PRIZE]]*Base_ventes[[#This Row],[QUANTITY]]</f>
        <v>1068</v>
      </c>
      <c r="Q271">
        <f>Base_ventes[[#This Row],[Montant Vendu]]-Base_ventes[[#This Row],[Montant Acheté]]</f>
        <v>341.76</v>
      </c>
    </row>
    <row r="272" spans="1:17" x14ac:dyDescent="0.3">
      <c r="A272" s="1">
        <v>44571</v>
      </c>
      <c r="B272">
        <f>YEAR(Base_ventes[[#This Row],[DATE]])</f>
        <v>2022</v>
      </c>
      <c r="C272">
        <f>MONTH(Base_ventes[[#This Row],[DATE]])</f>
        <v>1</v>
      </c>
      <c r="D27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72" t="s">
        <v>94</v>
      </c>
      <c r="F272">
        <v>14</v>
      </c>
      <c r="G272" t="s">
        <v>82</v>
      </c>
      <c r="H272" t="s">
        <v>82</v>
      </c>
      <c r="I272">
        <v>33</v>
      </c>
      <c r="J272" t="s">
        <v>95</v>
      </c>
      <c r="K272" t="s">
        <v>60</v>
      </c>
      <c r="L272" t="s">
        <v>11</v>
      </c>
      <c r="M272">
        <v>55</v>
      </c>
      <c r="N272">
        <v>58.3</v>
      </c>
      <c r="O272">
        <f>Base_ventes[[#This Row],[BD_2.SELLING PRICE]]*Base_ventes[[#This Row],[QUANTITY]]</f>
        <v>816.19999999999993</v>
      </c>
      <c r="P272">
        <f>Base_ventes[[#This Row],[BD_2.BUYING PRIZE]]*Base_ventes[[#This Row],[QUANTITY]]</f>
        <v>770</v>
      </c>
      <c r="Q272">
        <f>Base_ventes[[#This Row],[Montant Vendu]]-Base_ventes[[#This Row],[Montant Acheté]]</f>
        <v>46.199999999999932</v>
      </c>
    </row>
    <row r="273" spans="1:17" x14ac:dyDescent="0.3">
      <c r="A273" s="1">
        <v>44572</v>
      </c>
      <c r="B273">
        <f>YEAR(Base_ventes[[#This Row],[DATE]])</f>
        <v>2022</v>
      </c>
      <c r="C273">
        <f>MONTH(Base_ventes[[#This Row],[DATE]])</f>
        <v>1</v>
      </c>
      <c r="D27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73" t="s">
        <v>90</v>
      </c>
      <c r="F273">
        <v>2</v>
      </c>
      <c r="G273" t="s">
        <v>87</v>
      </c>
      <c r="H273" t="s">
        <v>82</v>
      </c>
      <c r="I273">
        <v>2</v>
      </c>
      <c r="J273" t="s">
        <v>91</v>
      </c>
      <c r="K273" t="s">
        <v>60</v>
      </c>
      <c r="L273" t="s">
        <v>4</v>
      </c>
      <c r="M273">
        <v>89</v>
      </c>
      <c r="N273">
        <v>117.48</v>
      </c>
      <c r="O273">
        <f>Base_ventes[[#This Row],[BD_2.SELLING PRICE]]*Base_ventes[[#This Row],[QUANTITY]]</f>
        <v>234.96</v>
      </c>
      <c r="P273">
        <f>Base_ventes[[#This Row],[BD_2.BUYING PRIZE]]*Base_ventes[[#This Row],[QUANTITY]]</f>
        <v>178</v>
      </c>
      <c r="Q273">
        <f>Base_ventes[[#This Row],[Montant Vendu]]-Base_ventes[[#This Row],[Montant Acheté]]</f>
        <v>56.960000000000008</v>
      </c>
    </row>
    <row r="274" spans="1:17" x14ac:dyDescent="0.3">
      <c r="A274" s="1">
        <v>44574</v>
      </c>
      <c r="B274">
        <f>YEAR(Base_ventes[[#This Row],[DATE]])</f>
        <v>2022</v>
      </c>
      <c r="C274">
        <f>MONTH(Base_ventes[[#This Row],[DATE]])</f>
        <v>1</v>
      </c>
      <c r="D27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74" t="s">
        <v>43</v>
      </c>
      <c r="F274">
        <v>6</v>
      </c>
      <c r="G274" t="s">
        <v>82</v>
      </c>
      <c r="H274" t="s">
        <v>82</v>
      </c>
      <c r="I274">
        <v>59</v>
      </c>
      <c r="J274" t="s">
        <v>44</v>
      </c>
      <c r="K274" t="s">
        <v>26</v>
      </c>
      <c r="L274" t="s">
        <v>14</v>
      </c>
      <c r="M274">
        <v>150</v>
      </c>
      <c r="N274">
        <v>210</v>
      </c>
      <c r="O274">
        <f>Base_ventes[[#This Row],[BD_2.SELLING PRICE]]*Base_ventes[[#This Row],[QUANTITY]]</f>
        <v>1260</v>
      </c>
      <c r="P274">
        <f>Base_ventes[[#This Row],[BD_2.BUYING PRIZE]]*Base_ventes[[#This Row],[QUANTITY]]</f>
        <v>900</v>
      </c>
      <c r="Q274">
        <f>Base_ventes[[#This Row],[Montant Vendu]]-Base_ventes[[#This Row],[Montant Acheté]]</f>
        <v>360</v>
      </c>
    </row>
    <row r="275" spans="1:17" x14ac:dyDescent="0.3">
      <c r="A275" s="1">
        <v>44575</v>
      </c>
      <c r="B275">
        <f>YEAR(Base_ventes[[#This Row],[DATE]])</f>
        <v>2022</v>
      </c>
      <c r="C275">
        <f>MONTH(Base_ventes[[#This Row],[DATE]])</f>
        <v>1</v>
      </c>
      <c r="D27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75" t="s">
        <v>27</v>
      </c>
      <c r="F275">
        <v>14</v>
      </c>
      <c r="G275" t="s">
        <v>87</v>
      </c>
      <c r="H275" t="s">
        <v>82</v>
      </c>
      <c r="I275">
        <v>6</v>
      </c>
      <c r="J275" t="s">
        <v>28</v>
      </c>
      <c r="K275" t="s">
        <v>26</v>
      </c>
      <c r="L275" t="s">
        <v>11</v>
      </c>
      <c r="M275">
        <v>44</v>
      </c>
      <c r="N275">
        <v>48.4</v>
      </c>
      <c r="O275">
        <f>Base_ventes[[#This Row],[BD_2.SELLING PRICE]]*Base_ventes[[#This Row],[QUANTITY]]</f>
        <v>677.6</v>
      </c>
      <c r="P275">
        <f>Base_ventes[[#This Row],[BD_2.BUYING PRIZE]]*Base_ventes[[#This Row],[QUANTITY]]</f>
        <v>616</v>
      </c>
      <c r="Q275">
        <f>Base_ventes[[#This Row],[Montant Vendu]]-Base_ventes[[#This Row],[Montant Acheté]]</f>
        <v>61.600000000000023</v>
      </c>
    </row>
    <row r="276" spans="1:17" x14ac:dyDescent="0.3">
      <c r="A276" s="1">
        <v>44576</v>
      </c>
      <c r="B276">
        <f>YEAR(Base_ventes[[#This Row],[DATE]])</f>
        <v>2022</v>
      </c>
      <c r="C276">
        <f>MONTH(Base_ventes[[#This Row],[DATE]])</f>
        <v>1</v>
      </c>
      <c r="D27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76" t="s">
        <v>50</v>
      </c>
      <c r="F276">
        <v>10</v>
      </c>
      <c r="G276" t="s">
        <v>87</v>
      </c>
      <c r="H276" t="s">
        <v>84</v>
      </c>
      <c r="I276">
        <v>30</v>
      </c>
      <c r="J276" t="s">
        <v>51</v>
      </c>
      <c r="K276" t="s">
        <v>47</v>
      </c>
      <c r="L276" t="s">
        <v>14</v>
      </c>
      <c r="M276">
        <v>121</v>
      </c>
      <c r="N276">
        <v>141.57</v>
      </c>
      <c r="O276">
        <f>Base_ventes[[#This Row],[BD_2.SELLING PRICE]]*Base_ventes[[#This Row],[QUANTITY]]</f>
        <v>1415.6999999999998</v>
      </c>
      <c r="P276">
        <f>Base_ventes[[#This Row],[BD_2.BUYING PRIZE]]*Base_ventes[[#This Row],[QUANTITY]]</f>
        <v>1210</v>
      </c>
      <c r="Q276">
        <f>Base_ventes[[#This Row],[Montant Vendu]]-Base_ventes[[#This Row],[Montant Acheté]]</f>
        <v>205.69999999999982</v>
      </c>
    </row>
    <row r="277" spans="1:17" x14ac:dyDescent="0.3">
      <c r="A277" s="1">
        <v>44577</v>
      </c>
      <c r="B277">
        <f>YEAR(Base_ventes[[#This Row],[DATE]])</f>
        <v>2022</v>
      </c>
      <c r="C277">
        <f>MONTH(Base_ventes[[#This Row],[DATE]])</f>
        <v>1</v>
      </c>
      <c r="D27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77" t="s">
        <v>33</v>
      </c>
      <c r="F277">
        <v>11</v>
      </c>
      <c r="G277" t="s">
        <v>82</v>
      </c>
      <c r="H277" t="s">
        <v>84</v>
      </c>
      <c r="I277">
        <v>32</v>
      </c>
      <c r="J277" t="s">
        <v>34</v>
      </c>
      <c r="K277" t="s">
        <v>26</v>
      </c>
      <c r="L277" t="s">
        <v>4</v>
      </c>
      <c r="M277">
        <v>112</v>
      </c>
      <c r="N277">
        <v>146.72</v>
      </c>
      <c r="O277">
        <f>Base_ventes[[#This Row],[BD_2.SELLING PRICE]]*Base_ventes[[#This Row],[QUANTITY]]</f>
        <v>1613.92</v>
      </c>
      <c r="P277">
        <f>Base_ventes[[#This Row],[BD_2.BUYING PRIZE]]*Base_ventes[[#This Row],[QUANTITY]]</f>
        <v>1232</v>
      </c>
      <c r="Q277">
        <f>Base_ventes[[#This Row],[Montant Vendu]]-Base_ventes[[#This Row],[Montant Acheté]]</f>
        <v>381.92000000000007</v>
      </c>
    </row>
    <row r="278" spans="1:17" x14ac:dyDescent="0.3">
      <c r="A278" s="1">
        <v>44578</v>
      </c>
      <c r="B278">
        <f>YEAR(Base_ventes[[#This Row],[DATE]])</f>
        <v>2022</v>
      </c>
      <c r="C278">
        <f>MONTH(Base_ventes[[#This Row],[DATE]])</f>
        <v>1</v>
      </c>
      <c r="D27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78" t="s">
        <v>102</v>
      </c>
      <c r="F278">
        <v>4</v>
      </c>
      <c r="G278" t="s">
        <v>82</v>
      </c>
      <c r="H278" t="s">
        <v>82</v>
      </c>
      <c r="I278">
        <v>6</v>
      </c>
      <c r="J278" t="s">
        <v>103</v>
      </c>
      <c r="K278" t="s">
        <v>86</v>
      </c>
      <c r="L278" t="s">
        <v>4</v>
      </c>
      <c r="M278">
        <v>90</v>
      </c>
      <c r="N278">
        <v>115.2</v>
      </c>
      <c r="O278">
        <f>Base_ventes[[#This Row],[BD_2.SELLING PRICE]]*Base_ventes[[#This Row],[QUANTITY]]</f>
        <v>460.8</v>
      </c>
      <c r="P278">
        <f>Base_ventes[[#This Row],[BD_2.BUYING PRIZE]]*Base_ventes[[#This Row],[QUANTITY]]</f>
        <v>360</v>
      </c>
      <c r="Q278">
        <f>Base_ventes[[#This Row],[Montant Vendu]]-Base_ventes[[#This Row],[Montant Acheté]]</f>
        <v>100.80000000000001</v>
      </c>
    </row>
    <row r="279" spans="1:17" x14ac:dyDescent="0.3">
      <c r="A279" s="1">
        <v>44579</v>
      </c>
      <c r="B279">
        <f>YEAR(Base_ventes[[#This Row],[DATE]])</f>
        <v>2022</v>
      </c>
      <c r="C279">
        <f>MONTH(Base_ventes[[#This Row],[DATE]])</f>
        <v>1</v>
      </c>
      <c r="D27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79" t="s">
        <v>19</v>
      </c>
      <c r="F279">
        <v>9</v>
      </c>
      <c r="G279" t="s">
        <v>81</v>
      </c>
      <c r="H279" t="s">
        <v>84</v>
      </c>
      <c r="I279">
        <v>37</v>
      </c>
      <c r="J279" t="s">
        <v>20</v>
      </c>
      <c r="K279" t="s">
        <v>3</v>
      </c>
      <c r="L279" t="s">
        <v>4</v>
      </c>
      <c r="M279">
        <v>83</v>
      </c>
      <c r="N279">
        <v>94.62</v>
      </c>
      <c r="O279">
        <f>Base_ventes[[#This Row],[BD_2.SELLING PRICE]]*Base_ventes[[#This Row],[QUANTITY]]</f>
        <v>851.58</v>
      </c>
      <c r="P279">
        <f>Base_ventes[[#This Row],[BD_2.BUYING PRIZE]]*Base_ventes[[#This Row],[QUANTITY]]</f>
        <v>747</v>
      </c>
      <c r="Q279">
        <f>Base_ventes[[#This Row],[Montant Vendu]]-Base_ventes[[#This Row],[Montant Acheté]]</f>
        <v>104.58000000000004</v>
      </c>
    </row>
    <row r="280" spans="1:17" x14ac:dyDescent="0.3">
      <c r="A280" s="1">
        <v>44581</v>
      </c>
      <c r="B280">
        <f>YEAR(Base_ventes[[#This Row],[DATE]])</f>
        <v>2022</v>
      </c>
      <c r="C280">
        <f>MONTH(Base_ventes[[#This Row],[DATE]])</f>
        <v>1</v>
      </c>
      <c r="D28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80" t="s">
        <v>48</v>
      </c>
      <c r="F280">
        <v>2</v>
      </c>
      <c r="G280" t="s">
        <v>87</v>
      </c>
      <c r="H280" t="s">
        <v>84</v>
      </c>
      <c r="I280">
        <v>32</v>
      </c>
      <c r="J280" t="s">
        <v>49</v>
      </c>
      <c r="K280" t="s">
        <v>47</v>
      </c>
      <c r="L280" t="s">
        <v>14</v>
      </c>
      <c r="M280">
        <v>126</v>
      </c>
      <c r="N280">
        <v>162.54</v>
      </c>
      <c r="O280">
        <f>Base_ventes[[#This Row],[BD_2.SELLING PRICE]]*Base_ventes[[#This Row],[QUANTITY]]</f>
        <v>325.08</v>
      </c>
      <c r="P280">
        <f>Base_ventes[[#This Row],[BD_2.BUYING PRIZE]]*Base_ventes[[#This Row],[QUANTITY]]</f>
        <v>252</v>
      </c>
      <c r="Q280">
        <f>Base_ventes[[#This Row],[Montant Vendu]]-Base_ventes[[#This Row],[Montant Acheté]]</f>
        <v>73.079999999999984</v>
      </c>
    </row>
    <row r="281" spans="1:17" x14ac:dyDescent="0.3">
      <c r="A281" s="1">
        <v>44581</v>
      </c>
      <c r="B281">
        <f>YEAR(Base_ventes[[#This Row],[DATE]])</f>
        <v>2022</v>
      </c>
      <c r="C281">
        <f>MONTH(Base_ventes[[#This Row],[DATE]])</f>
        <v>1</v>
      </c>
      <c r="D28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81" t="s">
        <v>33</v>
      </c>
      <c r="F281">
        <v>7</v>
      </c>
      <c r="G281" t="s">
        <v>82</v>
      </c>
      <c r="H281" t="s">
        <v>82</v>
      </c>
      <c r="I281">
        <v>28</v>
      </c>
      <c r="J281" t="s">
        <v>34</v>
      </c>
      <c r="K281" t="s">
        <v>26</v>
      </c>
      <c r="L281" t="s">
        <v>4</v>
      </c>
      <c r="M281">
        <v>112</v>
      </c>
      <c r="N281">
        <v>146.72</v>
      </c>
      <c r="O281">
        <f>Base_ventes[[#This Row],[BD_2.SELLING PRICE]]*Base_ventes[[#This Row],[QUANTITY]]</f>
        <v>1027.04</v>
      </c>
      <c r="P281">
        <f>Base_ventes[[#This Row],[BD_2.BUYING PRIZE]]*Base_ventes[[#This Row],[QUANTITY]]</f>
        <v>784</v>
      </c>
      <c r="Q281">
        <f>Base_ventes[[#This Row],[Montant Vendu]]-Base_ventes[[#This Row],[Montant Acheté]]</f>
        <v>243.03999999999996</v>
      </c>
    </row>
    <row r="282" spans="1:17" x14ac:dyDescent="0.3">
      <c r="A282" s="1">
        <v>44583</v>
      </c>
      <c r="B282">
        <f>YEAR(Base_ventes[[#This Row],[DATE]])</f>
        <v>2022</v>
      </c>
      <c r="C282">
        <f>MONTH(Base_ventes[[#This Row],[DATE]])</f>
        <v>1</v>
      </c>
      <c r="D28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82" t="s">
        <v>1</v>
      </c>
      <c r="F282">
        <v>6</v>
      </c>
      <c r="G282" t="s">
        <v>82</v>
      </c>
      <c r="H282" t="s">
        <v>84</v>
      </c>
      <c r="I282">
        <v>29</v>
      </c>
      <c r="J282" t="s">
        <v>2</v>
      </c>
      <c r="K282" t="s">
        <v>3</v>
      </c>
      <c r="L282" t="s">
        <v>4</v>
      </c>
      <c r="M282">
        <v>98</v>
      </c>
      <c r="N282">
        <v>103.88</v>
      </c>
      <c r="O282">
        <f>Base_ventes[[#This Row],[BD_2.SELLING PRICE]]*Base_ventes[[#This Row],[QUANTITY]]</f>
        <v>623.28</v>
      </c>
      <c r="P282">
        <f>Base_ventes[[#This Row],[BD_2.BUYING PRIZE]]*Base_ventes[[#This Row],[QUANTITY]]</f>
        <v>588</v>
      </c>
      <c r="Q282">
        <f>Base_ventes[[#This Row],[Montant Vendu]]-Base_ventes[[#This Row],[Montant Acheté]]</f>
        <v>35.279999999999973</v>
      </c>
    </row>
    <row r="283" spans="1:17" x14ac:dyDescent="0.3">
      <c r="A283" s="1">
        <v>44584</v>
      </c>
      <c r="B283">
        <f>YEAR(Base_ventes[[#This Row],[DATE]])</f>
        <v>2022</v>
      </c>
      <c r="C283">
        <f>MONTH(Base_ventes[[#This Row],[DATE]])</f>
        <v>1</v>
      </c>
      <c r="D28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83" t="s">
        <v>5</v>
      </c>
      <c r="F283">
        <v>5</v>
      </c>
      <c r="G283" t="s">
        <v>81</v>
      </c>
      <c r="H283" t="s">
        <v>84</v>
      </c>
      <c r="I283">
        <v>50</v>
      </c>
      <c r="J283" t="s">
        <v>6</v>
      </c>
      <c r="K283" t="s">
        <v>3</v>
      </c>
      <c r="L283" t="s">
        <v>4</v>
      </c>
      <c r="M283">
        <v>105</v>
      </c>
      <c r="N283">
        <v>142.80000000000001</v>
      </c>
      <c r="O283">
        <f>Base_ventes[[#This Row],[BD_2.SELLING PRICE]]*Base_ventes[[#This Row],[QUANTITY]]</f>
        <v>714</v>
      </c>
      <c r="P283">
        <f>Base_ventes[[#This Row],[BD_2.BUYING PRIZE]]*Base_ventes[[#This Row],[QUANTITY]]</f>
        <v>525</v>
      </c>
      <c r="Q283">
        <f>Base_ventes[[#This Row],[Montant Vendu]]-Base_ventes[[#This Row],[Montant Acheté]]</f>
        <v>189</v>
      </c>
    </row>
    <row r="284" spans="1:17" x14ac:dyDescent="0.3">
      <c r="A284" s="1">
        <v>44584</v>
      </c>
      <c r="B284">
        <f>YEAR(Base_ventes[[#This Row],[DATE]])</f>
        <v>2022</v>
      </c>
      <c r="C284">
        <f>MONTH(Base_ventes[[#This Row],[DATE]])</f>
        <v>1</v>
      </c>
      <c r="D28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84" t="s">
        <v>106</v>
      </c>
      <c r="F284">
        <v>8</v>
      </c>
      <c r="G284" t="s">
        <v>87</v>
      </c>
      <c r="H284" t="s">
        <v>82</v>
      </c>
      <c r="I284">
        <v>1</v>
      </c>
      <c r="J284" t="s">
        <v>107</v>
      </c>
      <c r="K284" t="s">
        <v>86</v>
      </c>
      <c r="L284" t="s">
        <v>14</v>
      </c>
      <c r="M284">
        <v>120</v>
      </c>
      <c r="N284">
        <v>162</v>
      </c>
      <c r="O284">
        <f>Base_ventes[[#This Row],[BD_2.SELLING PRICE]]*Base_ventes[[#This Row],[QUANTITY]]</f>
        <v>1296</v>
      </c>
      <c r="P284">
        <f>Base_ventes[[#This Row],[BD_2.BUYING PRIZE]]*Base_ventes[[#This Row],[QUANTITY]]</f>
        <v>960</v>
      </c>
      <c r="Q284">
        <f>Base_ventes[[#This Row],[Montant Vendu]]-Base_ventes[[#This Row],[Montant Acheté]]</f>
        <v>336</v>
      </c>
    </row>
    <row r="285" spans="1:17" x14ac:dyDescent="0.3">
      <c r="A285" s="1">
        <v>44585</v>
      </c>
      <c r="B285">
        <f>YEAR(Base_ventes[[#This Row],[DATE]])</f>
        <v>2022</v>
      </c>
      <c r="C285">
        <f>MONTH(Base_ventes[[#This Row],[DATE]])</f>
        <v>1</v>
      </c>
      <c r="D28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85" t="s">
        <v>67</v>
      </c>
      <c r="F285">
        <v>15</v>
      </c>
      <c r="G285" t="s">
        <v>82</v>
      </c>
      <c r="H285" t="s">
        <v>82</v>
      </c>
      <c r="I285">
        <v>61</v>
      </c>
      <c r="J285" t="s">
        <v>68</v>
      </c>
      <c r="K285" t="s">
        <v>60</v>
      </c>
      <c r="L285" t="s">
        <v>14</v>
      </c>
      <c r="M285">
        <v>148</v>
      </c>
      <c r="N285">
        <v>201.28</v>
      </c>
      <c r="O285">
        <f>Base_ventes[[#This Row],[BD_2.SELLING PRICE]]*Base_ventes[[#This Row],[QUANTITY]]</f>
        <v>3019.2</v>
      </c>
      <c r="P285">
        <f>Base_ventes[[#This Row],[BD_2.BUYING PRIZE]]*Base_ventes[[#This Row],[QUANTITY]]</f>
        <v>2220</v>
      </c>
      <c r="Q285">
        <f>Base_ventes[[#This Row],[Montant Vendu]]-Base_ventes[[#This Row],[Montant Acheté]]</f>
        <v>799.19999999999982</v>
      </c>
    </row>
    <row r="286" spans="1:17" x14ac:dyDescent="0.3">
      <c r="A286" s="1">
        <v>44586</v>
      </c>
      <c r="B286">
        <f>YEAR(Base_ventes[[#This Row],[DATE]])</f>
        <v>2022</v>
      </c>
      <c r="C286">
        <f>MONTH(Base_ventes[[#This Row],[DATE]])</f>
        <v>1</v>
      </c>
      <c r="D28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86" t="s">
        <v>39</v>
      </c>
      <c r="F286">
        <v>14</v>
      </c>
      <c r="G286" t="s">
        <v>87</v>
      </c>
      <c r="H286" t="s">
        <v>84</v>
      </c>
      <c r="I286">
        <v>88</v>
      </c>
      <c r="J286" t="s">
        <v>40</v>
      </c>
      <c r="K286" t="s">
        <v>26</v>
      </c>
      <c r="L286" t="s">
        <v>14</v>
      </c>
      <c r="M286">
        <v>134</v>
      </c>
      <c r="N286">
        <v>156.78</v>
      </c>
      <c r="O286">
        <f>Base_ventes[[#This Row],[BD_2.SELLING PRICE]]*Base_ventes[[#This Row],[QUANTITY]]</f>
        <v>2194.92</v>
      </c>
      <c r="P286">
        <f>Base_ventes[[#This Row],[BD_2.BUYING PRIZE]]*Base_ventes[[#This Row],[QUANTITY]]</f>
        <v>1876</v>
      </c>
      <c r="Q286">
        <f>Base_ventes[[#This Row],[Montant Vendu]]-Base_ventes[[#This Row],[Montant Acheté]]</f>
        <v>318.92000000000007</v>
      </c>
    </row>
    <row r="287" spans="1:17" x14ac:dyDescent="0.3">
      <c r="A287" s="1">
        <v>44589</v>
      </c>
      <c r="B287">
        <f>YEAR(Base_ventes[[#This Row],[DATE]])</f>
        <v>2022</v>
      </c>
      <c r="C287">
        <f>MONTH(Base_ventes[[#This Row],[DATE]])</f>
        <v>1</v>
      </c>
      <c r="D28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87" t="s">
        <v>37</v>
      </c>
      <c r="F287">
        <v>11</v>
      </c>
      <c r="G287" t="s">
        <v>87</v>
      </c>
      <c r="H287" t="s">
        <v>82</v>
      </c>
      <c r="I287">
        <v>7</v>
      </c>
      <c r="J287" t="s">
        <v>38</v>
      </c>
      <c r="K287" t="s">
        <v>26</v>
      </c>
      <c r="L287" t="s">
        <v>23</v>
      </c>
      <c r="M287">
        <v>13</v>
      </c>
      <c r="N287">
        <v>16.64</v>
      </c>
      <c r="O287">
        <f>Base_ventes[[#This Row],[BD_2.SELLING PRICE]]*Base_ventes[[#This Row],[QUANTITY]]</f>
        <v>183.04000000000002</v>
      </c>
      <c r="P287">
        <f>Base_ventes[[#This Row],[BD_2.BUYING PRIZE]]*Base_ventes[[#This Row],[QUANTITY]]</f>
        <v>143</v>
      </c>
      <c r="Q287">
        <f>Base_ventes[[#This Row],[Montant Vendu]]-Base_ventes[[#This Row],[Montant Acheté]]</f>
        <v>40.04000000000002</v>
      </c>
    </row>
    <row r="288" spans="1:17" x14ac:dyDescent="0.3">
      <c r="A288" s="1">
        <v>44592</v>
      </c>
      <c r="B288">
        <f>YEAR(Base_ventes[[#This Row],[DATE]])</f>
        <v>2022</v>
      </c>
      <c r="C288">
        <f>MONTH(Base_ventes[[#This Row],[DATE]])</f>
        <v>1</v>
      </c>
      <c r="D28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88" t="s">
        <v>52</v>
      </c>
      <c r="F288">
        <v>6</v>
      </c>
      <c r="G288" t="s">
        <v>82</v>
      </c>
      <c r="H288" t="s">
        <v>84</v>
      </c>
      <c r="I288">
        <v>14</v>
      </c>
      <c r="J288" t="s">
        <v>53</v>
      </c>
      <c r="K288" t="s">
        <v>47</v>
      </c>
      <c r="L288" t="s">
        <v>14</v>
      </c>
      <c r="M288">
        <v>141</v>
      </c>
      <c r="N288">
        <v>149.46</v>
      </c>
      <c r="O288">
        <f>Base_ventes[[#This Row],[BD_2.SELLING PRICE]]*Base_ventes[[#This Row],[QUANTITY]]</f>
        <v>896.76</v>
      </c>
      <c r="P288">
        <f>Base_ventes[[#This Row],[BD_2.BUYING PRIZE]]*Base_ventes[[#This Row],[QUANTITY]]</f>
        <v>846</v>
      </c>
      <c r="Q288">
        <f>Base_ventes[[#This Row],[Montant Vendu]]-Base_ventes[[#This Row],[Montant Acheté]]</f>
        <v>50.759999999999991</v>
      </c>
    </row>
    <row r="289" spans="1:17" x14ac:dyDescent="0.3">
      <c r="A289" s="1">
        <v>44592</v>
      </c>
      <c r="B289">
        <f>YEAR(Base_ventes[[#This Row],[DATE]])</f>
        <v>2022</v>
      </c>
      <c r="C289">
        <f>MONTH(Base_ventes[[#This Row],[DATE]])</f>
        <v>1</v>
      </c>
      <c r="D28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Janvier</v>
      </c>
      <c r="E289" t="s">
        <v>104</v>
      </c>
      <c r="F289">
        <v>9</v>
      </c>
      <c r="G289" t="s">
        <v>87</v>
      </c>
      <c r="H289" t="s">
        <v>84</v>
      </c>
      <c r="I289">
        <v>80</v>
      </c>
      <c r="J289" t="s">
        <v>105</v>
      </c>
      <c r="K289" t="s">
        <v>86</v>
      </c>
      <c r="L289" t="s">
        <v>14</v>
      </c>
      <c r="M289">
        <v>138</v>
      </c>
      <c r="N289">
        <v>173.88</v>
      </c>
      <c r="O289">
        <f>Base_ventes[[#This Row],[BD_2.SELLING PRICE]]*Base_ventes[[#This Row],[QUANTITY]]</f>
        <v>1564.92</v>
      </c>
      <c r="P289">
        <f>Base_ventes[[#This Row],[BD_2.BUYING PRIZE]]*Base_ventes[[#This Row],[QUANTITY]]</f>
        <v>1242</v>
      </c>
      <c r="Q289">
        <f>Base_ventes[[#This Row],[Montant Vendu]]-Base_ventes[[#This Row],[Montant Acheté]]</f>
        <v>322.92000000000007</v>
      </c>
    </row>
    <row r="290" spans="1:17" x14ac:dyDescent="0.3">
      <c r="A290" s="1">
        <v>44593</v>
      </c>
      <c r="B290">
        <f>YEAR(Base_ventes[[#This Row],[DATE]])</f>
        <v>2022</v>
      </c>
      <c r="C290">
        <f>MONTH(Base_ventes[[#This Row],[DATE]])</f>
        <v>2</v>
      </c>
      <c r="D29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290" t="s">
        <v>12</v>
      </c>
      <c r="F290">
        <v>9</v>
      </c>
      <c r="G290" t="s">
        <v>87</v>
      </c>
      <c r="H290" t="s">
        <v>84</v>
      </c>
      <c r="I290">
        <v>12</v>
      </c>
      <c r="J290" t="s">
        <v>13</v>
      </c>
      <c r="K290" t="s">
        <v>3</v>
      </c>
      <c r="L290" t="s">
        <v>14</v>
      </c>
      <c r="M290">
        <v>133</v>
      </c>
      <c r="N290">
        <v>155.61000000000001</v>
      </c>
      <c r="O290">
        <f>Base_ventes[[#This Row],[BD_2.SELLING PRICE]]*Base_ventes[[#This Row],[QUANTITY]]</f>
        <v>1400.4900000000002</v>
      </c>
      <c r="P290">
        <f>Base_ventes[[#This Row],[BD_2.BUYING PRIZE]]*Base_ventes[[#This Row],[QUANTITY]]</f>
        <v>1197</v>
      </c>
      <c r="Q290">
        <f>Base_ventes[[#This Row],[Montant Vendu]]-Base_ventes[[#This Row],[Montant Acheté]]</f>
        <v>203.49000000000024</v>
      </c>
    </row>
    <row r="291" spans="1:17" x14ac:dyDescent="0.3">
      <c r="A291" s="1">
        <v>44595</v>
      </c>
      <c r="B291">
        <f>YEAR(Base_ventes[[#This Row],[DATE]])</f>
        <v>2022</v>
      </c>
      <c r="C291">
        <f>MONTH(Base_ventes[[#This Row],[DATE]])</f>
        <v>2</v>
      </c>
      <c r="D29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291" t="s">
        <v>33</v>
      </c>
      <c r="F291">
        <v>8</v>
      </c>
      <c r="G291" t="s">
        <v>87</v>
      </c>
      <c r="H291" t="s">
        <v>82</v>
      </c>
      <c r="I291">
        <v>41</v>
      </c>
      <c r="J291" t="s">
        <v>34</v>
      </c>
      <c r="K291" t="s">
        <v>26</v>
      </c>
      <c r="L291" t="s">
        <v>4</v>
      </c>
      <c r="M291">
        <v>112</v>
      </c>
      <c r="N291">
        <v>146.72</v>
      </c>
      <c r="O291">
        <f>Base_ventes[[#This Row],[BD_2.SELLING PRICE]]*Base_ventes[[#This Row],[QUANTITY]]</f>
        <v>1173.76</v>
      </c>
      <c r="P291">
        <f>Base_ventes[[#This Row],[BD_2.BUYING PRIZE]]*Base_ventes[[#This Row],[QUANTITY]]</f>
        <v>896</v>
      </c>
      <c r="Q291">
        <f>Base_ventes[[#This Row],[Montant Vendu]]-Base_ventes[[#This Row],[Montant Acheté]]</f>
        <v>277.76</v>
      </c>
    </row>
    <row r="292" spans="1:17" x14ac:dyDescent="0.3">
      <c r="A292" s="1">
        <v>44597</v>
      </c>
      <c r="B292">
        <f>YEAR(Base_ventes[[#This Row],[DATE]])</f>
        <v>2022</v>
      </c>
      <c r="C292">
        <f>MONTH(Base_ventes[[#This Row],[DATE]])</f>
        <v>2</v>
      </c>
      <c r="D29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292" t="s">
        <v>41</v>
      </c>
      <c r="F292">
        <v>6</v>
      </c>
      <c r="G292" t="s">
        <v>87</v>
      </c>
      <c r="H292" t="s">
        <v>84</v>
      </c>
      <c r="I292">
        <v>4</v>
      </c>
      <c r="J292" t="s">
        <v>42</v>
      </c>
      <c r="K292" t="s">
        <v>26</v>
      </c>
      <c r="L292" t="s">
        <v>23</v>
      </c>
      <c r="M292">
        <v>37</v>
      </c>
      <c r="N292">
        <v>49.21</v>
      </c>
      <c r="O292">
        <f>Base_ventes[[#This Row],[BD_2.SELLING PRICE]]*Base_ventes[[#This Row],[QUANTITY]]</f>
        <v>295.26</v>
      </c>
      <c r="P292">
        <f>Base_ventes[[#This Row],[BD_2.BUYING PRIZE]]*Base_ventes[[#This Row],[QUANTITY]]</f>
        <v>222</v>
      </c>
      <c r="Q292">
        <f>Base_ventes[[#This Row],[Montant Vendu]]-Base_ventes[[#This Row],[Montant Acheté]]</f>
        <v>73.259999999999991</v>
      </c>
    </row>
    <row r="293" spans="1:17" x14ac:dyDescent="0.3">
      <c r="A293" s="1">
        <v>44598</v>
      </c>
      <c r="B293">
        <f>YEAR(Base_ventes[[#This Row],[DATE]])</f>
        <v>2022</v>
      </c>
      <c r="C293">
        <f>MONTH(Base_ventes[[#This Row],[DATE]])</f>
        <v>2</v>
      </c>
      <c r="D29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293" t="s">
        <v>5</v>
      </c>
      <c r="F293">
        <v>6</v>
      </c>
      <c r="G293" t="s">
        <v>87</v>
      </c>
      <c r="H293" t="s">
        <v>84</v>
      </c>
      <c r="I293">
        <v>50</v>
      </c>
      <c r="J293" t="s">
        <v>6</v>
      </c>
      <c r="K293" t="s">
        <v>3</v>
      </c>
      <c r="L293" t="s">
        <v>4</v>
      </c>
      <c r="M293">
        <v>105</v>
      </c>
      <c r="N293">
        <v>142.80000000000001</v>
      </c>
      <c r="O293">
        <f>Base_ventes[[#This Row],[BD_2.SELLING PRICE]]*Base_ventes[[#This Row],[QUANTITY]]</f>
        <v>856.80000000000007</v>
      </c>
      <c r="P293">
        <f>Base_ventes[[#This Row],[BD_2.BUYING PRIZE]]*Base_ventes[[#This Row],[QUANTITY]]</f>
        <v>630</v>
      </c>
      <c r="Q293">
        <f>Base_ventes[[#This Row],[Montant Vendu]]-Base_ventes[[#This Row],[Montant Acheté]]</f>
        <v>226.80000000000007</v>
      </c>
    </row>
    <row r="294" spans="1:17" x14ac:dyDescent="0.3">
      <c r="A294" s="1">
        <v>44600</v>
      </c>
      <c r="B294">
        <f>YEAR(Base_ventes[[#This Row],[DATE]])</f>
        <v>2022</v>
      </c>
      <c r="C294">
        <f>MONTH(Base_ventes[[#This Row],[DATE]])</f>
        <v>2</v>
      </c>
      <c r="D29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294" t="s">
        <v>12</v>
      </c>
      <c r="F294">
        <v>11</v>
      </c>
      <c r="G294" t="s">
        <v>82</v>
      </c>
      <c r="H294" t="s">
        <v>84</v>
      </c>
      <c r="I294">
        <v>45</v>
      </c>
      <c r="J294" t="s">
        <v>13</v>
      </c>
      <c r="K294" t="s">
        <v>3</v>
      </c>
      <c r="L294" t="s">
        <v>14</v>
      </c>
      <c r="M294">
        <v>133</v>
      </c>
      <c r="N294">
        <v>155.61000000000001</v>
      </c>
      <c r="O294">
        <f>Base_ventes[[#This Row],[BD_2.SELLING PRICE]]*Base_ventes[[#This Row],[QUANTITY]]</f>
        <v>1711.71</v>
      </c>
      <c r="P294">
        <f>Base_ventes[[#This Row],[BD_2.BUYING PRIZE]]*Base_ventes[[#This Row],[QUANTITY]]</f>
        <v>1463</v>
      </c>
      <c r="Q294">
        <f>Base_ventes[[#This Row],[Montant Vendu]]-Base_ventes[[#This Row],[Montant Acheté]]</f>
        <v>248.71000000000004</v>
      </c>
    </row>
    <row r="295" spans="1:17" x14ac:dyDescent="0.3">
      <c r="A295" s="1">
        <v>44600</v>
      </c>
      <c r="B295">
        <f>YEAR(Base_ventes[[#This Row],[DATE]])</f>
        <v>2022</v>
      </c>
      <c r="C295">
        <f>MONTH(Base_ventes[[#This Row],[DATE]])</f>
        <v>2</v>
      </c>
      <c r="D29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295" t="s">
        <v>9</v>
      </c>
      <c r="F295">
        <v>3</v>
      </c>
      <c r="G295" t="s">
        <v>82</v>
      </c>
      <c r="H295" t="s">
        <v>84</v>
      </c>
      <c r="I295">
        <v>33</v>
      </c>
      <c r="J295" t="s">
        <v>10</v>
      </c>
      <c r="K295" t="s">
        <v>3</v>
      </c>
      <c r="L295" t="s">
        <v>11</v>
      </c>
      <c r="M295">
        <v>44</v>
      </c>
      <c r="N295">
        <v>48.84</v>
      </c>
      <c r="O295">
        <f>Base_ventes[[#This Row],[BD_2.SELLING PRICE]]*Base_ventes[[#This Row],[QUANTITY]]</f>
        <v>146.52000000000001</v>
      </c>
      <c r="P295">
        <f>Base_ventes[[#This Row],[BD_2.BUYING PRIZE]]*Base_ventes[[#This Row],[QUANTITY]]</f>
        <v>132</v>
      </c>
      <c r="Q295">
        <f>Base_ventes[[#This Row],[Montant Vendu]]-Base_ventes[[#This Row],[Montant Acheté]]</f>
        <v>14.52000000000001</v>
      </c>
    </row>
    <row r="296" spans="1:17" x14ac:dyDescent="0.3">
      <c r="A296" s="1">
        <v>44601</v>
      </c>
      <c r="B296">
        <f>YEAR(Base_ventes[[#This Row],[DATE]])</f>
        <v>2022</v>
      </c>
      <c r="C296">
        <f>MONTH(Base_ventes[[#This Row],[DATE]])</f>
        <v>2</v>
      </c>
      <c r="D29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296" t="s">
        <v>90</v>
      </c>
      <c r="F296">
        <v>14</v>
      </c>
      <c r="G296" t="s">
        <v>82</v>
      </c>
      <c r="H296" t="s">
        <v>82</v>
      </c>
      <c r="I296">
        <v>52</v>
      </c>
      <c r="J296" t="s">
        <v>91</v>
      </c>
      <c r="K296" t="s">
        <v>60</v>
      </c>
      <c r="L296" t="s">
        <v>4</v>
      </c>
      <c r="M296">
        <v>89</v>
      </c>
      <c r="N296">
        <v>117.48</v>
      </c>
      <c r="O296">
        <f>Base_ventes[[#This Row],[BD_2.SELLING PRICE]]*Base_ventes[[#This Row],[QUANTITY]]</f>
        <v>1644.72</v>
      </c>
      <c r="P296">
        <f>Base_ventes[[#This Row],[BD_2.BUYING PRIZE]]*Base_ventes[[#This Row],[QUANTITY]]</f>
        <v>1246</v>
      </c>
      <c r="Q296">
        <f>Base_ventes[[#This Row],[Montant Vendu]]-Base_ventes[[#This Row],[Montant Acheté]]</f>
        <v>398.72</v>
      </c>
    </row>
    <row r="297" spans="1:17" x14ac:dyDescent="0.3">
      <c r="A297" s="1">
        <v>44604</v>
      </c>
      <c r="B297">
        <f>YEAR(Base_ventes[[#This Row],[DATE]])</f>
        <v>2022</v>
      </c>
      <c r="C297">
        <f>MONTH(Base_ventes[[#This Row],[DATE]])</f>
        <v>2</v>
      </c>
      <c r="D29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297" t="s">
        <v>24</v>
      </c>
      <c r="F297">
        <v>13</v>
      </c>
      <c r="G297" t="s">
        <v>87</v>
      </c>
      <c r="H297" t="s">
        <v>84</v>
      </c>
      <c r="I297">
        <v>60</v>
      </c>
      <c r="J297" t="s">
        <v>25</v>
      </c>
      <c r="K297" t="s">
        <v>26</v>
      </c>
      <c r="L297" t="s">
        <v>14</v>
      </c>
      <c r="M297">
        <v>148</v>
      </c>
      <c r="N297">
        <v>164.28</v>
      </c>
      <c r="O297">
        <f>Base_ventes[[#This Row],[BD_2.SELLING PRICE]]*Base_ventes[[#This Row],[QUANTITY]]</f>
        <v>2135.64</v>
      </c>
      <c r="P297">
        <f>Base_ventes[[#This Row],[BD_2.BUYING PRIZE]]*Base_ventes[[#This Row],[QUANTITY]]</f>
        <v>1924</v>
      </c>
      <c r="Q297">
        <f>Base_ventes[[#This Row],[Montant Vendu]]-Base_ventes[[#This Row],[Montant Acheté]]</f>
        <v>211.63999999999987</v>
      </c>
    </row>
    <row r="298" spans="1:17" x14ac:dyDescent="0.3">
      <c r="A298" s="1">
        <v>44606</v>
      </c>
      <c r="B298">
        <f>YEAR(Base_ventes[[#This Row],[DATE]])</f>
        <v>2022</v>
      </c>
      <c r="C298">
        <f>MONTH(Base_ventes[[#This Row],[DATE]])</f>
        <v>2</v>
      </c>
      <c r="D29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298" t="s">
        <v>58</v>
      </c>
      <c r="F298">
        <v>8</v>
      </c>
      <c r="G298" t="s">
        <v>82</v>
      </c>
      <c r="H298" t="s">
        <v>84</v>
      </c>
      <c r="I298">
        <v>55</v>
      </c>
      <c r="J298" t="s">
        <v>59</v>
      </c>
      <c r="K298" t="s">
        <v>60</v>
      </c>
      <c r="L298" t="s">
        <v>23</v>
      </c>
      <c r="M298">
        <v>18</v>
      </c>
      <c r="N298">
        <v>24.66</v>
      </c>
      <c r="O298">
        <f>Base_ventes[[#This Row],[BD_2.SELLING PRICE]]*Base_ventes[[#This Row],[QUANTITY]]</f>
        <v>197.28</v>
      </c>
      <c r="P298">
        <f>Base_ventes[[#This Row],[BD_2.BUYING PRIZE]]*Base_ventes[[#This Row],[QUANTITY]]</f>
        <v>144</v>
      </c>
      <c r="Q298">
        <f>Base_ventes[[#This Row],[Montant Vendu]]-Base_ventes[[#This Row],[Montant Acheté]]</f>
        <v>53.28</v>
      </c>
    </row>
    <row r="299" spans="1:17" x14ac:dyDescent="0.3">
      <c r="A299" s="1">
        <v>44606</v>
      </c>
      <c r="B299">
        <f>YEAR(Base_ventes[[#This Row],[DATE]])</f>
        <v>2022</v>
      </c>
      <c r="C299">
        <f>MONTH(Base_ventes[[#This Row],[DATE]])</f>
        <v>2</v>
      </c>
      <c r="D29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299" t="s">
        <v>63</v>
      </c>
      <c r="F299">
        <v>3</v>
      </c>
      <c r="G299" t="s">
        <v>87</v>
      </c>
      <c r="H299" t="s">
        <v>84</v>
      </c>
      <c r="I299">
        <v>72</v>
      </c>
      <c r="J299" t="s">
        <v>64</v>
      </c>
      <c r="K299" t="s">
        <v>60</v>
      </c>
      <c r="L299" t="s">
        <v>23</v>
      </c>
      <c r="M299">
        <v>37</v>
      </c>
      <c r="N299">
        <v>41.81</v>
      </c>
      <c r="O299">
        <f>Base_ventes[[#This Row],[BD_2.SELLING PRICE]]*Base_ventes[[#This Row],[QUANTITY]]</f>
        <v>125.43</v>
      </c>
      <c r="P299">
        <f>Base_ventes[[#This Row],[BD_2.BUYING PRIZE]]*Base_ventes[[#This Row],[QUANTITY]]</f>
        <v>111</v>
      </c>
      <c r="Q299">
        <f>Base_ventes[[#This Row],[Montant Vendu]]-Base_ventes[[#This Row],[Montant Acheté]]</f>
        <v>14.430000000000007</v>
      </c>
    </row>
    <row r="300" spans="1:17" x14ac:dyDescent="0.3">
      <c r="A300" s="1">
        <v>44608</v>
      </c>
      <c r="B300">
        <f>YEAR(Base_ventes[[#This Row],[DATE]])</f>
        <v>2022</v>
      </c>
      <c r="C300">
        <f>MONTH(Base_ventes[[#This Row],[DATE]])</f>
        <v>2</v>
      </c>
      <c r="D30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300" t="s">
        <v>90</v>
      </c>
      <c r="F300">
        <v>1</v>
      </c>
      <c r="G300" t="s">
        <v>82</v>
      </c>
      <c r="H300" t="s">
        <v>84</v>
      </c>
      <c r="I300">
        <v>58</v>
      </c>
      <c r="J300" t="s">
        <v>91</v>
      </c>
      <c r="K300" t="s">
        <v>60</v>
      </c>
      <c r="L300" t="s">
        <v>4</v>
      </c>
      <c r="M300">
        <v>89</v>
      </c>
      <c r="N300">
        <v>117.48</v>
      </c>
      <c r="O300">
        <f>Base_ventes[[#This Row],[BD_2.SELLING PRICE]]*Base_ventes[[#This Row],[QUANTITY]]</f>
        <v>117.48</v>
      </c>
      <c r="P300">
        <f>Base_ventes[[#This Row],[BD_2.BUYING PRIZE]]*Base_ventes[[#This Row],[QUANTITY]]</f>
        <v>89</v>
      </c>
      <c r="Q300">
        <f>Base_ventes[[#This Row],[Montant Vendu]]-Base_ventes[[#This Row],[Montant Acheté]]</f>
        <v>28.480000000000004</v>
      </c>
    </row>
    <row r="301" spans="1:17" x14ac:dyDescent="0.3">
      <c r="A301" s="1">
        <v>44611</v>
      </c>
      <c r="B301">
        <f>YEAR(Base_ventes[[#This Row],[DATE]])</f>
        <v>2022</v>
      </c>
      <c r="C301">
        <f>MONTH(Base_ventes[[#This Row],[DATE]])</f>
        <v>2</v>
      </c>
      <c r="D30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301" t="s">
        <v>5</v>
      </c>
      <c r="F301">
        <v>13</v>
      </c>
      <c r="G301" t="s">
        <v>82</v>
      </c>
      <c r="H301" t="s">
        <v>84</v>
      </c>
      <c r="I301">
        <v>30</v>
      </c>
      <c r="J301" t="s">
        <v>6</v>
      </c>
      <c r="K301" t="s">
        <v>3</v>
      </c>
      <c r="L301" t="s">
        <v>4</v>
      </c>
      <c r="M301">
        <v>105</v>
      </c>
      <c r="N301">
        <v>142.80000000000001</v>
      </c>
      <c r="O301">
        <f>Base_ventes[[#This Row],[BD_2.SELLING PRICE]]*Base_ventes[[#This Row],[QUANTITY]]</f>
        <v>1856.4</v>
      </c>
      <c r="P301">
        <f>Base_ventes[[#This Row],[BD_2.BUYING PRIZE]]*Base_ventes[[#This Row],[QUANTITY]]</f>
        <v>1365</v>
      </c>
      <c r="Q301">
        <f>Base_ventes[[#This Row],[Montant Vendu]]-Base_ventes[[#This Row],[Montant Acheté]]</f>
        <v>491.40000000000009</v>
      </c>
    </row>
    <row r="302" spans="1:17" x14ac:dyDescent="0.3">
      <c r="A302" s="1">
        <v>44612</v>
      </c>
      <c r="B302">
        <f>YEAR(Base_ventes[[#This Row],[DATE]])</f>
        <v>2022</v>
      </c>
      <c r="C302">
        <f>MONTH(Base_ventes[[#This Row],[DATE]])</f>
        <v>2</v>
      </c>
      <c r="D30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302" t="s">
        <v>29</v>
      </c>
      <c r="F302">
        <v>6</v>
      </c>
      <c r="G302" t="s">
        <v>87</v>
      </c>
      <c r="H302" t="s">
        <v>84</v>
      </c>
      <c r="I302">
        <v>39</v>
      </c>
      <c r="J302" t="s">
        <v>30</v>
      </c>
      <c r="K302" t="s">
        <v>26</v>
      </c>
      <c r="L302" t="s">
        <v>4</v>
      </c>
      <c r="M302">
        <v>73</v>
      </c>
      <c r="N302">
        <v>94.17</v>
      </c>
      <c r="O302">
        <f>Base_ventes[[#This Row],[BD_2.SELLING PRICE]]*Base_ventes[[#This Row],[QUANTITY]]</f>
        <v>565.02</v>
      </c>
      <c r="P302">
        <f>Base_ventes[[#This Row],[BD_2.BUYING PRIZE]]*Base_ventes[[#This Row],[QUANTITY]]</f>
        <v>438</v>
      </c>
      <c r="Q302">
        <f>Base_ventes[[#This Row],[Montant Vendu]]-Base_ventes[[#This Row],[Montant Acheté]]</f>
        <v>127.01999999999998</v>
      </c>
    </row>
    <row r="303" spans="1:17" x14ac:dyDescent="0.3">
      <c r="A303" s="1">
        <v>44615</v>
      </c>
      <c r="B303">
        <f>YEAR(Base_ventes[[#This Row],[DATE]])</f>
        <v>2022</v>
      </c>
      <c r="C303">
        <f>MONTH(Base_ventes[[#This Row],[DATE]])</f>
        <v>2</v>
      </c>
      <c r="D30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303" t="s">
        <v>31</v>
      </c>
      <c r="F303">
        <v>6</v>
      </c>
      <c r="G303" t="s">
        <v>82</v>
      </c>
      <c r="H303" t="s">
        <v>82</v>
      </c>
      <c r="I303">
        <v>28</v>
      </c>
      <c r="J303" t="s">
        <v>32</v>
      </c>
      <c r="K303" t="s">
        <v>26</v>
      </c>
      <c r="L303" t="s">
        <v>4</v>
      </c>
      <c r="M303">
        <v>112</v>
      </c>
      <c r="N303">
        <v>122.08</v>
      </c>
      <c r="O303">
        <f>Base_ventes[[#This Row],[BD_2.SELLING PRICE]]*Base_ventes[[#This Row],[QUANTITY]]</f>
        <v>732.48</v>
      </c>
      <c r="P303">
        <f>Base_ventes[[#This Row],[BD_2.BUYING PRIZE]]*Base_ventes[[#This Row],[QUANTITY]]</f>
        <v>672</v>
      </c>
      <c r="Q303">
        <f>Base_ventes[[#This Row],[Montant Vendu]]-Base_ventes[[#This Row],[Montant Acheté]]</f>
        <v>60.480000000000018</v>
      </c>
    </row>
    <row r="304" spans="1:17" x14ac:dyDescent="0.3">
      <c r="A304" s="1">
        <v>44615</v>
      </c>
      <c r="B304">
        <f>YEAR(Base_ventes[[#This Row],[DATE]])</f>
        <v>2022</v>
      </c>
      <c r="C304">
        <f>MONTH(Base_ventes[[#This Row],[DATE]])</f>
        <v>2</v>
      </c>
      <c r="D30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304" t="s">
        <v>37</v>
      </c>
      <c r="F304">
        <v>15</v>
      </c>
      <c r="G304" t="s">
        <v>82</v>
      </c>
      <c r="H304" t="s">
        <v>84</v>
      </c>
      <c r="I304">
        <v>72</v>
      </c>
      <c r="J304" t="s">
        <v>38</v>
      </c>
      <c r="K304" t="s">
        <v>26</v>
      </c>
      <c r="L304" t="s">
        <v>23</v>
      </c>
      <c r="M304">
        <v>13</v>
      </c>
      <c r="N304">
        <v>16.64</v>
      </c>
      <c r="O304">
        <f>Base_ventes[[#This Row],[BD_2.SELLING PRICE]]*Base_ventes[[#This Row],[QUANTITY]]</f>
        <v>249.60000000000002</v>
      </c>
      <c r="P304">
        <f>Base_ventes[[#This Row],[BD_2.BUYING PRIZE]]*Base_ventes[[#This Row],[QUANTITY]]</f>
        <v>195</v>
      </c>
      <c r="Q304">
        <f>Base_ventes[[#This Row],[Montant Vendu]]-Base_ventes[[#This Row],[Montant Acheté]]</f>
        <v>54.600000000000023</v>
      </c>
    </row>
    <row r="305" spans="1:17" x14ac:dyDescent="0.3">
      <c r="A305" s="1">
        <v>44615</v>
      </c>
      <c r="B305">
        <f>YEAR(Base_ventes[[#This Row],[DATE]])</f>
        <v>2022</v>
      </c>
      <c r="C305">
        <f>MONTH(Base_ventes[[#This Row],[DATE]])</f>
        <v>2</v>
      </c>
      <c r="D30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305" t="s">
        <v>96</v>
      </c>
      <c r="F305">
        <v>8</v>
      </c>
      <c r="G305" t="s">
        <v>87</v>
      </c>
      <c r="H305" t="s">
        <v>82</v>
      </c>
      <c r="I305">
        <v>25</v>
      </c>
      <c r="J305" t="s">
        <v>97</v>
      </c>
      <c r="K305" t="s">
        <v>60</v>
      </c>
      <c r="L305" t="s">
        <v>4</v>
      </c>
      <c r="M305">
        <v>90</v>
      </c>
      <c r="N305">
        <v>96.3</v>
      </c>
      <c r="O305">
        <f>Base_ventes[[#This Row],[BD_2.SELLING PRICE]]*Base_ventes[[#This Row],[QUANTITY]]</f>
        <v>770.4</v>
      </c>
      <c r="P305">
        <f>Base_ventes[[#This Row],[BD_2.BUYING PRIZE]]*Base_ventes[[#This Row],[QUANTITY]]</f>
        <v>720</v>
      </c>
      <c r="Q305">
        <f>Base_ventes[[#This Row],[Montant Vendu]]-Base_ventes[[#This Row],[Montant Acheté]]</f>
        <v>50.399999999999977</v>
      </c>
    </row>
    <row r="306" spans="1:17" x14ac:dyDescent="0.3">
      <c r="A306" s="1">
        <v>44619</v>
      </c>
      <c r="B306">
        <f>YEAR(Base_ventes[[#This Row],[DATE]])</f>
        <v>2022</v>
      </c>
      <c r="C306">
        <f>MONTH(Base_ventes[[#This Row],[DATE]])</f>
        <v>2</v>
      </c>
      <c r="D30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306" t="s">
        <v>29</v>
      </c>
      <c r="F306">
        <v>7</v>
      </c>
      <c r="G306" t="s">
        <v>87</v>
      </c>
      <c r="H306" t="s">
        <v>84</v>
      </c>
      <c r="I306">
        <v>29</v>
      </c>
      <c r="J306" t="s">
        <v>30</v>
      </c>
      <c r="K306" t="s">
        <v>26</v>
      </c>
      <c r="L306" t="s">
        <v>4</v>
      </c>
      <c r="M306">
        <v>73</v>
      </c>
      <c r="N306">
        <v>94.17</v>
      </c>
      <c r="O306">
        <f>Base_ventes[[#This Row],[BD_2.SELLING PRICE]]*Base_ventes[[#This Row],[QUANTITY]]</f>
        <v>659.19</v>
      </c>
      <c r="P306">
        <f>Base_ventes[[#This Row],[BD_2.BUYING PRIZE]]*Base_ventes[[#This Row],[QUANTITY]]</f>
        <v>511</v>
      </c>
      <c r="Q306">
        <f>Base_ventes[[#This Row],[Montant Vendu]]-Base_ventes[[#This Row],[Montant Acheté]]</f>
        <v>148.19000000000005</v>
      </c>
    </row>
    <row r="307" spans="1:17" x14ac:dyDescent="0.3">
      <c r="A307" s="1">
        <v>44619</v>
      </c>
      <c r="B307">
        <f>YEAR(Base_ventes[[#This Row],[DATE]])</f>
        <v>2022</v>
      </c>
      <c r="C307">
        <f>MONTH(Base_ventes[[#This Row],[DATE]])</f>
        <v>2</v>
      </c>
      <c r="D30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307" t="s">
        <v>12</v>
      </c>
      <c r="F307">
        <v>15</v>
      </c>
      <c r="G307" t="s">
        <v>87</v>
      </c>
      <c r="H307" t="s">
        <v>82</v>
      </c>
      <c r="I307">
        <v>66</v>
      </c>
      <c r="J307" t="s">
        <v>13</v>
      </c>
      <c r="K307" t="s">
        <v>3</v>
      </c>
      <c r="L307" t="s">
        <v>14</v>
      </c>
      <c r="M307">
        <v>133</v>
      </c>
      <c r="N307">
        <v>155.61000000000001</v>
      </c>
      <c r="O307">
        <f>Base_ventes[[#This Row],[BD_2.SELLING PRICE]]*Base_ventes[[#This Row],[QUANTITY]]</f>
        <v>2334.15</v>
      </c>
      <c r="P307">
        <f>Base_ventes[[#This Row],[BD_2.BUYING PRIZE]]*Base_ventes[[#This Row],[QUANTITY]]</f>
        <v>1995</v>
      </c>
      <c r="Q307">
        <f>Base_ventes[[#This Row],[Montant Vendu]]-Base_ventes[[#This Row],[Montant Acheté]]</f>
        <v>339.15000000000009</v>
      </c>
    </row>
    <row r="308" spans="1:17" x14ac:dyDescent="0.3">
      <c r="A308" s="1">
        <v>44620</v>
      </c>
      <c r="B308">
        <f>YEAR(Base_ventes[[#This Row],[DATE]])</f>
        <v>2022</v>
      </c>
      <c r="C308">
        <f>MONTH(Base_ventes[[#This Row],[DATE]])</f>
        <v>2</v>
      </c>
      <c r="D30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Février</v>
      </c>
      <c r="E308" t="s">
        <v>98</v>
      </c>
      <c r="F308">
        <v>15</v>
      </c>
      <c r="G308" t="s">
        <v>87</v>
      </c>
      <c r="H308" t="s">
        <v>84</v>
      </c>
      <c r="I308">
        <v>24</v>
      </c>
      <c r="J308" t="s">
        <v>99</v>
      </c>
      <c r="K308" t="s">
        <v>86</v>
      </c>
      <c r="L308" t="s">
        <v>4</v>
      </c>
      <c r="M308">
        <v>67</v>
      </c>
      <c r="N308">
        <v>85.76</v>
      </c>
      <c r="O308">
        <f>Base_ventes[[#This Row],[BD_2.SELLING PRICE]]*Base_ventes[[#This Row],[QUANTITY]]</f>
        <v>1286.4000000000001</v>
      </c>
      <c r="P308">
        <f>Base_ventes[[#This Row],[BD_2.BUYING PRIZE]]*Base_ventes[[#This Row],[QUANTITY]]</f>
        <v>1005</v>
      </c>
      <c r="Q308">
        <f>Base_ventes[[#This Row],[Montant Vendu]]-Base_ventes[[#This Row],[Montant Acheté]]</f>
        <v>281.40000000000009</v>
      </c>
    </row>
    <row r="309" spans="1:17" x14ac:dyDescent="0.3">
      <c r="A309" s="1">
        <v>44624</v>
      </c>
      <c r="B309">
        <f>YEAR(Base_ventes[[#This Row],[DATE]])</f>
        <v>2022</v>
      </c>
      <c r="C309">
        <f>MONTH(Base_ventes[[#This Row],[DATE]])</f>
        <v>3</v>
      </c>
      <c r="D30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309" t="s">
        <v>58</v>
      </c>
      <c r="F309">
        <v>13</v>
      </c>
      <c r="G309" t="s">
        <v>81</v>
      </c>
      <c r="H309" t="s">
        <v>82</v>
      </c>
      <c r="I309">
        <v>74</v>
      </c>
      <c r="J309" t="s">
        <v>59</v>
      </c>
      <c r="K309" t="s">
        <v>60</v>
      </c>
      <c r="L309" t="s">
        <v>23</v>
      </c>
      <c r="M309">
        <v>18</v>
      </c>
      <c r="N309">
        <v>24.66</v>
      </c>
      <c r="O309">
        <f>Base_ventes[[#This Row],[BD_2.SELLING PRICE]]*Base_ventes[[#This Row],[QUANTITY]]</f>
        <v>320.58</v>
      </c>
      <c r="P309">
        <f>Base_ventes[[#This Row],[BD_2.BUYING PRIZE]]*Base_ventes[[#This Row],[QUANTITY]]</f>
        <v>234</v>
      </c>
      <c r="Q309">
        <f>Base_ventes[[#This Row],[Montant Vendu]]-Base_ventes[[#This Row],[Montant Acheté]]</f>
        <v>86.579999999999984</v>
      </c>
    </row>
    <row r="310" spans="1:17" x14ac:dyDescent="0.3">
      <c r="A310" s="1">
        <v>44626</v>
      </c>
      <c r="B310">
        <f>YEAR(Base_ventes[[#This Row],[DATE]])</f>
        <v>2022</v>
      </c>
      <c r="C310">
        <f>MONTH(Base_ventes[[#This Row],[DATE]])</f>
        <v>3</v>
      </c>
      <c r="D31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310" t="s">
        <v>9</v>
      </c>
      <c r="F310">
        <v>2</v>
      </c>
      <c r="G310" t="s">
        <v>87</v>
      </c>
      <c r="H310" t="s">
        <v>84</v>
      </c>
      <c r="I310">
        <v>13</v>
      </c>
      <c r="J310" t="s">
        <v>10</v>
      </c>
      <c r="K310" t="s">
        <v>3</v>
      </c>
      <c r="L310" t="s">
        <v>11</v>
      </c>
      <c r="M310">
        <v>44</v>
      </c>
      <c r="N310">
        <v>48.84</v>
      </c>
      <c r="O310">
        <f>Base_ventes[[#This Row],[BD_2.SELLING PRICE]]*Base_ventes[[#This Row],[QUANTITY]]</f>
        <v>97.68</v>
      </c>
      <c r="P310">
        <f>Base_ventes[[#This Row],[BD_2.BUYING PRIZE]]*Base_ventes[[#This Row],[QUANTITY]]</f>
        <v>88</v>
      </c>
      <c r="Q310">
        <f>Base_ventes[[#This Row],[Montant Vendu]]-Base_ventes[[#This Row],[Montant Acheté]]</f>
        <v>9.6800000000000068</v>
      </c>
    </row>
    <row r="311" spans="1:17" x14ac:dyDescent="0.3">
      <c r="A311" s="1">
        <v>44627</v>
      </c>
      <c r="B311">
        <f>YEAR(Base_ventes[[#This Row],[DATE]])</f>
        <v>2022</v>
      </c>
      <c r="C311">
        <f>MONTH(Base_ventes[[#This Row],[DATE]])</f>
        <v>3</v>
      </c>
      <c r="D31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311" t="s">
        <v>7</v>
      </c>
      <c r="F311">
        <v>1</v>
      </c>
      <c r="G311" t="s">
        <v>87</v>
      </c>
      <c r="H311" t="s">
        <v>84</v>
      </c>
      <c r="I311">
        <v>79</v>
      </c>
      <c r="J311" t="s">
        <v>8</v>
      </c>
      <c r="K311" t="s">
        <v>3</v>
      </c>
      <c r="L311" t="s">
        <v>4</v>
      </c>
      <c r="M311">
        <v>71</v>
      </c>
      <c r="N311">
        <v>80.94</v>
      </c>
      <c r="O311">
        <f>Base_ventes[[#This Row],[BD_2.SELLING PRICE]]*Base_ventes[[#This Row],[QUANTITY]]</f>
        <v>80.94</v>
      </c>
      <c r="P311">
        <f>Base_ventes[[#This Row],[BD_2.BUYING PRIZE]]*Base_ventes[[#This Row],[QUANTITY]]</f>
        <v>71</v>
      </c>
      <c r="Q311">
        <f>Base_ventes[[#This Row],[Montant Vendu]]-Base_ventes[[#This Row],[Montant Acheté]]</f>
        <v>9.9399999999999977</v>
      </c>
    </row>
    <row r="312" spans="1:17" x14ac:dyDescent="0.3">
      <c r="A312" s="1">
        <v>44628</v>
      </c>
      <c r="B312">
        <f>YEAR(Base_ventes[[#This Row],[DATE]])</f>
        <v>2022</v>
      </c>
      <c r="C312">
        <f>MONTH(Base_ventes[[#This Row],[DATE]])</f>
        <v>3</v>
      </c>
      <c r="D31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312" t="s">
        <v>110</v>
      </c>
      <c r="F312">
        <v>6</v>
      </c>
      <c r="G312" t="s">
        <v>87</v>
      </c>
      <c r="H312" t="s">
        <v>82</v>
      </c>
      <c r="I312">
        <v>88</v>
      </c>
      <c r="J312" t="s">
        <v>111</v>
      </c>
      <c r="K312" t="s">
        <v>86</v>
      </c>
      <c r="L312" t="s">
        <v>4</v>
      </c>
      <c r="M312">
        <v>76</v>
      </c>
      <c r="N312">
        <v>82.08</v>
      </c>
      <c r="O312">
        <f>Base_ventes[[#This Row],[BD_2.SELLING PRICE]]*Base_ventes[[#This Row],[QUANTITY]]</f>
        <v>492.48</v>
      </c>
      <c r="P312">
        <f>Base_ventes[[#This Row],[BD_2.BUYING PRIZE]]*Base_ventes[[#This Row],[QUANTITY]]</f>
        <v>456</v>
      </c>
      <c r="Q312">
        <f>Base_ventes[[#This Row],[Montant Vendu]]-Base_ventes[[#This Row],[Montant Acheté]]</f>
        <v>36.480000000000018</v>
      </c>
    </row>
    <row r="313" spans="1:17" x14ac:dyDescent="0.3">
      <c r="A313" s="1">
        <v>44629</v>
      </c>
      <c r="B313">
        <f>YEAR(Base_ventes[[#This Row],[DATE]])</f>
        <v>2022</v>
      </c>
      <c r="C313">
        <f>MONTH(Base_ventes[[#This Row],[DATE]])</f>
        <v>3</v>
      </c>
      <c r="D31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313" t="s">
        <v>67</v>
      </c>
      <c r="F313">
        <v>3</v>
      </c>
      <c r="G313" t="s">
        <v>87</v>
      </c>
      <c r="H313" t="s">
        <v>82</v>
      </c>
      <c r="I313">
        <v>7</v>
      </c>
      <c r="J313" t="s">
        <v>68</v>
      </c>
      <c r="K313" t="s">
        <v>60</v>
      </c>
      <c r="L313" t="s">
        <v>14</v>
      </c>
      <c r="M313">
        <v>148</v>
      </c>
      <c r="N313">
        <v>201.28</v>
      </c>
      <c r="O313">
        <f>Base_ventes[[#This Row],[BD_2.SELLING PRICE]]*Base_ventes[[#This Row],[QUANTITY]]</f>
        <v>603.84</v>
      </c>
      <c r="P313">
        <f>Base_ventes[[#This Row],[BD_2.BUYING PRIZE]]*Base_ventes[[#This Row],[QUANTITY]]</f>
        <v>444</v>
      </c>
      <c r="Q313">
        <f>Base_ventes[[#This Row],[Montant Vendu]]-Base_ventes[[#This Row],[Montant Acheté]]</f>
        <v>159.84000000000003</v>
      </c>
    </row>
    <row r="314" spans="1:17" x14ac:dyDescent="0.3">
      <c r="A314" s="1">
        <v>44629</v>
      </c>
      <c r="B314">
        <f>YEAR(Base_ventes[[#This Row],[DATE]])</f>
        <v>2022</v>
      </c>
      <c r="C314">
        <f>MONTH(Base_ventes[[#This Row],[DATE]])</f>
        <v>3</v>
      </c>
      <c r="D31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314" t="s">
        <v>9</v>
      </c>
      <c r="F314">
        <v>11</v>
      </c>
      <c r="G314" t="s">
        <v>82</v>
      </c>
      <c r="H314" t="s">
        <v>84</v>
      </c>
      <c r="I314">
        <v>59</v>
      </c>
      <c r="J314" t="s">
        <v>10</v>
      </c>
      <c r="K314" t="s">
        <v>3</v>
      </c>
      <c r="L314" t="s">
        <v>11</v>
      </c>
      <c r="M314">
        <v>44</v>
      </c>
      <c r="N314">
        <v>48.84</v>
      </c>
      <c r="O314">
        <f>Base_ventes[[#This Row],[BD_2.SELLING PRICE]]*Base_ventes[[#This Row],[QUANTITY]]</f>
        <v>537.24</v>
      </c>
      <c r="P314">
        <f>Base_ventes[[#This Row],[BD_2.BUYING PRIZE]]*Base_ventes[[#This Row],[QUANTITY]]</f>
        <v>484</v>
      </c>
      <c r="Q314">
        <f>Base_ventes[[#This Row],[Montant Vendu]]-Base_ventes[[#This Row],[Montant Acheté]]</f>
        <v>53.240000000000009</v>
      </c>
    </row>
    <row r="315" spans="1:17" x14ac:dyDescent="0.3">
      <c r="A315" s="1">
        <v>44630</v>
      </c>
      <c r="B315">
        <f>YEAR(Base_ventes[[#This Row],[DATE]])</f>
        <v>2022</v>
      </c>
      <c r="C315">
        <f>MONTH(Base_ventes[[#This Row],[DATE]])</f>
        <v>3</v>
      </c>
      <c r="D31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315" t="s">
        <v>92</v>
      </c>
      <c r="F315">
        <v>12</v>
      </c>
      <c r="G315" t="s">
        <v>81</v>
      </c>
      <c r="H315" t="s">
        <v>82</v>
      </c>
      <c r="I315">
        <v>64</v>
      </c>
      <c r="J315" t="s">
        <v>93</v>
      </c>
      <c r="K315" t="s">
        <v>60</v>
      </c>
      <c r="L315" t="s">
        <v>4</v>
      </c>
      <c r="M315">
        <v>95</v>
      </c>
      <c r="N315">
        <v>119.7</v>
      </c>
      <c r="O315">
        <f>Base_ventes[[#This Row],[BD_2.SELLING PRICE]]*Base_ventes[[#This Row],[QUANTITY]]</f>
        <v>1436.4</v>
      </c>
      <c r="P315">
        <f>Base_ventes[[#This Row],[BD_2.BUYING PRIZE]]*Base_ventes[[#This Row],[QUANTITY]]</f>
        <v>1140</v>
      </c>
      <c r="Q315">
        <f>Base_ventes[[#This Row],[Montant Vendu]]-Base_ventes[[#This Row],[Montant Acheté]]</f>
        <v>296.40000000000009</v>
      </c>
    </row>
    <row r="316" spans="1:17" x14ac:dyDescent="0.3">
      <c r="A316" s="1">
        <v>44634</v>
      </c>
      <c r="B316">
        <f>YEAR(Base_ventes[[#This Row],[DATE]])</f>
        <v>2022</v>
      </c>
      <c r="C316">
        <f>MONTH(Base_ventes[[#This Row],[DATE]])</f>
        <v>3</v>
      </c>
      <c r="D31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316" t="s">
        <v>37</v>
      </c>
      <c r="F316">
        <v>2</v>
      </c>
      <c r="G316" t="s">
        <v>87</v>
      </c>
      <c r="H316" t="s">
        <v>84</v>
      </c>
      <c r="I316">
        <v>56</v>
      </c>
      <c r="J316" t="s">
        <v>38</v>
      </c>
      <c r="K316" t="s">
        <v>26</v>
      </c>
      <c r="L316" t="s">
        <v>23</v>
      </c>
      <c r="M316">
        <v>13</v>
      </c>
      <c r="N316">
        <v>16.64</v>
      </c>
      <c r="O316">
        <f>Base_ventes[[#This Row],[BD_2.SELLING PRICE]]*Base_ventes[[#This Row],[QUANTITY]]</f>
        <v>33.28</v>
      </c>
      <c r="P316">
        <f>Base_ventes[[#This Row],[BD_2.BUYING PRIZE]]*Base_ventes[[#This Row],[QUANTITY]]</f>
        <v>26</v>
      </c>
      <c r="Q316">
        <f>Base_ventes[[#This Row],[Montant Vendu]]-Base_ventes[[#This Row],[Montant Acheté]]</f>
        <v>7.2800000000000011</v>
      </c>
    </row>
    <row r="317" spans="1:17" x14ac:dyDescent="0.3">
      <c r="A317" s="1">
        <v>44634</v>
      </c>
      <c r="B317">
        <f>YEAR(Base_ventes[[#This Row],[DATE]])</f>
        <v>2022</v>
      </c>
      <c r="C317">
        <f>MONTH(Base_ventes[[#This Row],[DATE]])</f>
        <v>3</v>
      </c>
      <c r="D31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317" t="s">
        <v>58</v>
      </c>
      <c r="F317">
        <v>13</v>
      </c>
      <c r="G317" t="s">
        <v>87</v>
      </c>
      <c r="H317" t="s">
        <v>82</v>
      </c>
      <c r="I317">
        <v>31</v>
      </c>
      <c r="J317" t="s">
        <v>59</v>
      </c>
      <c r="K317" t="s">
        <v>60</v>
      </c>
      <c r="L317" t="s">
        <v>23</v>
      </c>
      <c r="M317">
        <v>18</v>
      </c>
      <c r="N317">
        <v>24.66</v>
      </c>
      <c r="O317">
        <f>Base_ventes[[#This Row],[BD_2.SELLING PRICE]]*Base_ventes[[#This Row],[QUANTITY]]</f>
        <v>320.58</v>
      </c>
      <c r="P317">
        <f>Base_ventes[[#This Row],[BD_2.BUYING PRIZE]]*Base_ventes[[#This Row],[QUANTITY]]</f>
        <v>234</v>
      </c>
      <c r="Q317">
        <f>Base_ventes[[#This Row],[Montant Vendu]]-Base_ventes[[#This Row],[Montant Acheté]]</f>
        <v>86.579999999999984</v>
      </c>
    </row>
    <row r="318" spans="1:17" x14ac:dyDescent="0.3">
      <c r="A318" s="1">
        <v>44638</v>
      </c>
      <c r="B318">
        <f>YEAR(Base_ventes[[#This Row],[DATE]])</f>
        <v>2022</v>
      </c>
      <c r="C318">
        <f>MONTH(Base_ventes[[#This Row],[DATE]])</f>
        <v>3</v>
      </c>
      <c r="D31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318" t="s">
        <v>43</v>
      </c>
      <c r="F318">
        <v>2</v>
      </c>
      <c r="G318" t="s">
        <v>82</v>
      </c>
      <c r="H318" t="s">
        <v>84</v>
      </c>
      <c r="I318">
        <v>88</v>
      </c>
      <c r="J318" t="s">
        <v>44</v>
      </c>
      <c r="K318" t="s">
        <v>26</v>
      </c>
      <c r="L318" t="s">
        <v>14</v>
      </c>
      <c r="M318">
        <v>150</v>
      </c>
      <c r="N318">
        <v>210</v>
      </c>
      <c r="O318">
        <f>Base_ventes[[#This Row],[BD_2.SELLING PRICE]]*Base_ventes[[#This Row],[QUANTITY]]</f>
        <v>420</v>
      </c>
      <c r="P318">
        <f>Base_ventes[[#This Row],[BD_2.BUYING PRIZE]]*Base_ventes[[#This Row],[QUANTITY]]</f>
        <v>300</v>
      </c>
      <c r="Q318">
        <f>Base_ventes[[#This Row],[Montant Vendu]]-Base_ventes[[#This Row],[Montant Acheté]]</f>
        <v>120</v>
      </c>
    </row>
    <row r="319" spans="1:17" x14ac:dyDescent="0.3">
      <c r="A319" s="1">
        <v>44638</v>
      </c>
      <c r="B319">
        <f>YEAR(Base_ventes[[#This Row],[DATE]])</f>
        <v>2022</v>
      </c>
      <c r="C319">
        <f>MONTH(Base_ventes[[#This Row],[DATE]])</f>
        <v>3</v>
      </c>
      <c r="D31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319" t="s">
        <v>61</v>
      </c>
      <c r="F319">
        <v>10</v>
      </c>
      <c r="G319" t="s">
        <v>87</v>
      </c>
      <c r="H319" t="s">
        <v>84</v>
      </c>
      <c r="I319">
        <v>35</v>
      </c>
      <c r="J319" t="s">
        <v>62</v>
      </c>
      <c r="K319" t="s">
        <v>60</v>
      </c>
      <c r="L319" t="s">
        <v>11</v>
      </c>
      <c r="M319">
        <v>48</v>
      </c>
      <c r="N319">
        <v>57.120000000000005</v>
      </c>
      <c r="O319">
        <f>Base_ventes[[#This Row],[BD_2.SELLING PRICE]]*Base_ventes[[#This Row],[QUANTITY]]</f>
        <v>571.20000000000005</v>
      </c>
      <c r="P319">
        <f>Base_ventes[[#This Row],[BD_2.BUYING PRIZE]]*Base_ventes[[#This Row],[QUANTITY]]</f>
        <v>480</v>
      </c>
      <c r="Q319">
        <f>Base_ventes[[#This Row],[Montant Vendu]]-Base_ventes[[#This Row],[Montant Acheté]]</f>
        <v>91.200000000000045</v>
      </c>
    </row>
    <row r="320" spans="1:17" x14ac:dyDescent="0.3">
      <c r="A320" s="1">
        <v>44639</v>
      </c>
      <c r="B320">
        <f>YEAR(Base_ventes[[#This Row],[DATE]])</f>
        <v>2022</v>
      </c>
      <c r="C320">
        <f>MONTH(Base_ventes[[#This Row],[DATE]])</f>
        <v>3</v>
      </c>
      <c r="D32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320" t="s">
        <v>104</v>
      </c>
      <c r="F320">
        <v>6</v>
      </c>
      <c r="G320" t="s">
        <v>81</v>
      </c>
      <c r="H320" t="s">
        <v>84</v>
      </c>
      <c r="I320">
        <v>85</v>
      </c>
      <c r="J320" t="s">
        <v>105</v>
      </c>
      <c r="K320" t="s">
        <v>86</v>
      </c>
      <c r="L320" t="s">
        <v>14</v>
      </c>
      <c r="M320">
        <v>138</v>
      </c>
      <c r="N320">
        <v>173.88</v>
      </c>
      <c r="O320">
        <f>Base_ventes[[#This Row],[BD_2.SELLING PRICE]]*Base_ventes[[#This Row],[QUANTITY]]</f>
        <v>1043.28</v>
      </c>
      <c r="P320">
        <f>Base_ventes[[#This Row],[BD_2.BUYING PRIZE]]*Base_ventes[[#This Row],[QUANTITY]]</f>
        <v>828</v>
      </c>
      <c r="Q320">
        <f>Base_ventes[[#This Row],[Montant Vendu]]-Base_ventes[[#This Row],[Montant Acheté]]</f>
        <v>215.27999999999997</v>
      </c>
    </row>
    <row r="321" spans="1:17" x14ac:dyDescent="0.3">
      <c r="A321" s="1">
        <v>44643</v>
      </c>
      <c r="B321">
        <f>YEAR(Base_ventes[[#This Row],[DATE]])</f>
        <v>2022</v>
      </c>
      <c r="C321">
        <f>MONTH(Base_ventes[[#This Row],[DATE]])</f>
        <v>3</v>
      </c>
      <c r="D32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321" t="s">
        <v>90</v>
      </c>
      <c r="F321">
        <v>9</v>
      </c>
      <c r="G321" t="s">
        <v>87</v>
      </c>
      <c r="H321" t="s">
        <v>84</v>
      </c>
      <c r="I321">
        <v>80</v>
      </c>
      <c r="J321" t="s">
        <v>91</v>
      </c>
      <c r="K321" t="s">
        <v>60</v>
      </c>
      <c r="L321" t="s">
        <v>4</v>
      </c>
      <c r="M321">
        <v>89</v>
      </c>
      <c r="N321">
        <v>117.48</v>
      </c>
      <c r="O321">
        <f>Base_ventes[[#This Row],[BD_2.SELLING PRICE]]*Base_ventes[[#This Row],[QUANTITY]]</f>
        <v>1057.32</v>
      </c>
      <c r="P321">
        <f>Base_ventes[[#This Row],[BD_2.BUYING PRIZE]]*Base_ventes[[#This Row],[QUANTITY]]</f>
        <v>801</v>
      </c>
      <c r="Q321">
        <f>Base_ventes[[#This Row],[Montant Vendu]]-Base_ventes[[#This Row],[Montant Acheté]]</f>
        <v>256.31999999999994</v>
      </c>
    </row>
    <row r="322" spans="1:17" x14ac:dyDescent="0.3">
      <c r="A322" s="1">
        <v>44645</v>
      </c>
      <c r="B322">
        <f>YEAR(Base_ventes[[#This Row],[DATE]])</f>
        <v>2022</v>
      </c>
      <c r="C322">
        <f>MONTH(Base_ventes[[#This Row],[DATE]])</f>
        <v>3</v>
      </c>
      <c r="D32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322" t="s">
        <v>1</v>
      </c>
      <c r="F322">
        <v>2</v>
      </c>
      <c r="G322" t="s">
        <v>81</v>
      </c>
      <c r="H322" t="s">
        <v>82</v>
      </c>
      <c r="I322">
        <v>76</v>
      </c>
      <c r="J322" t="s">
        <v>2</v>
      </c>
      <c r="K322" t="s">
        <v>3</v>
      </c>
      <c r="L322" t="s">
        <v>4</v>
      </c>
      <c r="M322">
        <v>98</v>
      </c>
      <c r="N322">
        <v>103.88</v>
      </c>
      <c r="O322">
        <f>Base_ventes[[#This Row],[BD_2.SELLING PRICE]]*Base_ventes[[#This Row],[QUANTITY]]</f>
        <v>207.76</v>
      </c>
      <c r="P322">
        <f>Base_ventes[[#This Row],[BD_2.BUYING PRIZE]]*Base_ventes[[#This Row],[QUANTITY]]</f>
        <v>196</v>
      </c>
      <c r="Q322">
        <f>Base_ventes[[#This Row],[Montant Vendu]]-Base_ventes[[#This Row],[Montant Acheté]]</f>
        <v>11.759999999999991</v>
      </c>
    </row>
    <row r="323" spans="1:17" x14ac:dyDescent="0.3">
      <c r="A323" s="1">
        <v>44645</v>
      </c>
      <c r="B323">
        <f>YEAR(Base_ventes[[#This Row],[DATE]])</f>
        <v>2022</v>
      </c>
      <c r="C323">
        <f>MONTH(Base_ventes[[#This Row],[DATE]])</f>
        <v>3</v>
      </c>
      <c r="D32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323" t="s">
        <v>67</v>
      </c>
      <c r="F323">
        <v>11</v>
      </c>
      <c r="G323" t="s">
        <v>87</v>
      </c>
      <c r="H323" t="s">
        <v>82</v>
      </c>
      <c r="I323">
        <v>59</v>
      </c>
      <c r="J323" t="s">
        <v>68</v>
      </c>
      <c r="K323" t="s">
        <v>60</v>
      </c>
      <c r="L323" t="s">
        <v>14</v>
      </c>
      <c r="M323">
        <v>148</v>
      </c>
      <c r="N323">
        <v>201.28</v>
      </c>
      <c r="O323">
        <f>Base_ventes[[#This Row],[BD_2.SELLING PRICE]]*Base_ventes[[#This Row],[QUANTITY]]</f>
        <v>2214.08</v>
      </c>
      <c r="P323">
        <f>Base_ventes[[#This Row],[BD_2.BUYING PRIZE]]*Base_ventes[[#This Row],[QUANTITY]]</f>
        <v>1628</v>
      </c>
      <c r="Q323">
        <f>Base_ventes[[#This Row],[Montant Vendu]]-Base_ventes[[#This Row],[Montant Acheté]]</f>
        <v>586.07999999999993</v>
      </c>
    </row>
    <row r="324" spans="1:17" x14ac:dyDescent="0.3">
      <c r="A324" s="1">
        <v>44649</v>
      </c>
      <c r="B324">
        <f>YEAR(Base_ventes[[#This Row],[DATE]])</f>
        <v>2022</v>
      </c>
      <c r="C324">
        <f>MONTH(Base_ventes[[#This Row],[DATE]])</f>
        <v>3</v>
      </c>
      <c r="D32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324" t="s">
        <v>90</v>
      </c>
      <c r="F324">
        <v>12</v>
      </c>
      <c r="G324" t="s">
        <v>82</v>
      </c>
      <c r="H324" t="s">
        <v>82</v>
      </c>
      <c r="I324">
        <v>81</v>
      </c>
      <c r="J324" t="s">
        <v>91</v>
      </c>
      <c r="K324" t="s">
        <v>60</v>
      </c>
      <c r="L324" t="s">
        <v>4</v>
      </c>
      <c r="M324">
        <v>89</v>
      </c>
      <c r="N324">
        <v>117.48</v>
      </c>
      <c r="O324">
        <f>Base_ventes[[#This Row],[BD_2.SELLING PRICE]]*Base_ventes[[#This Row],[QUANTITY]]</f>
        <v>1409.76</v>
      </c>
      <c r="P324">
        <f>Base_ventes[[#This Row],[BD_2.BUYING PRIZE]]*Base_ventes[[#This Row],[QUANTITY]]</f>
        <v>1068</v>
      </c>
      <c r="Q324">
        <f>Base_ventes[[#This Row],[Montant Vendu]]-Base_ventes[[#This Row],[Montant Acheté]]</f>
        <v>341.76</v>
      </c>
    </row>
    <row r="325" spans="1:17" x14ac:dyDescent="0.3">
      <c r="A325" s="1">
        <v>44650</v>
      </c>
      <c r="B325">
        <f>YEAR(Base_ventes[[#This Row],[DATE]])</f>
        <v>2022</v>
      </c>
      <c r="C325">
        <f>MONTH(Base_ventes[[#This Row],[DATE]])</f>
        <v>3</v>
      </c>
      <c r="D32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Mars</v>
      </c>
      <c r="E325" t="s">
        <v>1</v>
      </c>
      <c r="F325">
        <v>13</v>
      </c>
      <c r="G325" t="s">
        <v>82</v>
      </c>
      <c r="H325" t="s">
        <v>84</v>
      </c>
      <c r="I325">
        <v>23</v>
      </c>
      <c r="J325" t="s">
        <v>2</v>
      </c>
      <c r="K325" t="s">
        <v>3</v>
      </c>
      <c r="L325" t="s">
        <v>4</v>
      </c>
      <c r="M325">
        <v>98</v>
      </c>
      <c r="N325">
        <v>103.88</v>
      </c>
      <c r="O325">
        <f>Base_ventes[[#This Row],[BD_2.SELLING PRICE]]*Base_ventes[[#This Row],[QUANTITY]]</f>
        <v>1350.44</v>
      </c>
      <c r="P325">
        <f>Base_ventes[[#This Row],[BD_2.BUYING PRIZE]]*Base_ventes[[#This Row],[QUANTITY]]</f>
        <v>1274</v>
      </c>
      <c r="Q325">
        <f>Base_ventes[[#This Row],[Montant Vendu]]-Base_ventes[[#This Row],[Montant Acheté]]</f>
        <v>76.440000000000055</v>
      </c>
    </row>
    <row r="326" spans="1:17" x14ac:dyDescent="0.3">
      <c r="A326" s="1">
        <v>44652</v>
      </c>
      <c r="B326">
        <f>YEAR(Base_ventes[[#This Row],[DATE]])</f>
        <v>2022</v>
      </c>
      <c r="C326">
        <f>MONTH(Base_ventes[[#This Row],[DATE]])</f>
        <v>4</v>
      </c>
      <c r="D32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26" t="s">
        <v>5</v>
      </c>
      <c r="F326">
        <v>2</v>
      </c>
      <c r="G326" t="s">
        <v>82</v>
      </c>
      <c r="H326" t="s">
        <v>84</v>
      </c>
      <c r="I326">
        <v>88</v>
      </c>
      <c r="J326" t="s">
        <v>6</v>
      </c>
      <c r="K326" t="s">
        <v>3</v>
      </c>
      <c r="L326" t="s">
        <v>4</v>
      </c>
      <c r="M326">
        <v>105</v>
      </c>
      <c r="N326">
        <v>142.80000000000001</v>
      </c>
      <c r="O326">
        <f>Base_ventes[[#This Row],[BD_2.SELLING PRICE]]*Base_ventes[[#This Row],[QUANTITY]]</f>
        <v>285.60000000000002</v>
      </c>
      <c r="P326">
        <f>Base_ventes[[#This Row],[BD_2.BUYING PRIZE]]*Base_ventes[[#This Row],[QUANTITY]]</f>
        <v>210</v>
      </c>
      <c r="Q326">
        <f>Base_ventes[[#This Row],[Montant Vendu]]-Base_ventes[[#This Row],[Montant Acheté]]</f>
        <v>75.600000000000023</v>
      </c>
    </row>
    <row r="327" spans="1:17" x14ac:dyDescent="0.3">
      <c r="A327" s="1">
        <v>44653</v>
      </c>
      <c r="B327">
        <f>YEAR(Base_ventes[[#This Row],[DATE]])</f>
        <v>2022</v>
      </c>
      <c r="C327">
        <f>MONTH(Base_ventes[[#This Row],[DATE]])</f>
        <v>4</v>
      </c>
      <c r="D32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27" t="s">
        <v>5</v>
      </c>
      <c r="F327">
        <v>3</v>
      </c>
      <c r="G327" t="s">
        <v>87</v>
      </c>
      <c r="H327" t="s">
        <v>84</v>
      </c>
      <c r="I327">
        <v>60</v>
      </c>
      <c r="J327" t="s">
        <v>6</v>
      </c>
      <c r="K327" t="s">
        <v>3</v>
      </c>
      <c r="L327" t="s">
        <v>4</v>
      </c>
      <c r="M327">
        <v>105</v>
      </c>
      <c r="N327">
        <v>142.80000000000001</v>
      </c>
      <c r="O327">
        <f>Base_ventes[[#This Row],[BD_2.SELLING PRICE]]*Base_ventes[[#This Row],[QUANTITY]]</f>
        <v>428.40000000000003</v>
      </c>
      <c r="P327">
        <f>Base_ventes[[#This Row],[BD_2.BUYING PRIZE]]*Base_ventes[[#This Row],[QUANTITY]]</f>
        <v>315</v>
      </c>
      <c r="Q327">
        <f>Base_ventes[[#This Row],[Montant Vendu]]-Base_ventes[[#This Row],[Montant Acheté]]</f>
        <v>113.40000000000003</v>
      </c>
    </row>
    <row r="328" spans="1:17" x14ac:dyDescent="0.3">
      <c r="A328" s="1">
        <v>44657</v>
      </c>
      <c r="B328">
        <f>YEAR(Base_ventes[[#This Row],[DATE]])</f>
        <v>2022</v>
      </c>
      <c r="C328">
        <f>MONTH(Base_ventes[[#This Row],[DATE]])</f>
        <v>4</v>
      </c>
      <c r="D32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28" t="s">
        <v>102</v>
      </c>
      <c r="F328">
        <v>2</v>
      </c>
      <c r="G328" t="s">
        <v>81</v>
      </c>
      <c r="H328" t="s">
        <v>84</v>
      </c>
      <c r="I328">
        <v>13</v>
      </c>
      <c r="J328" t="s">
        <v>103</v>
      </c>
      <c r="K328" t="s">
        <v>86</v>
      </c>
      <c r="L328" t="s">
        <v>4</v>
      </c>
      <c r="M328">
        <v>90</v>
      </c>
      <c r="N328">
        <v>115.2</v>
      </c>
      <c r="O328">
        <f>Base_ventes[[#This Row],[BD_2.SELLING PRICE]]*Base_ventes[[#This Row],[QUANTITY]]</f>
        <v>230.4</v>
      </c>
      <c r="P328">
        <f>Base_ventes[[#This Row],[BD_2.BUYING PRIZE]]*Base_ventes[[#This Row],[QUANTITY]]</f>
        <v>180</v>
      </c>
      <c r="Q328">
        <f>Base_ventes[[#This Row],[Montant Vendu]]-Base_ventes[[#This Row],[Montant Acheté]]</f>
        <v>50.400000000000006</v>
      </c>
    </row>
    <row r="329" spans="1:17" x14ac:dyDescent="0.3">
      <c r="A329" s="1">
        <v>44658</v>
      </c>
      <c r="B329">
        <f>YEAR(Base_ventes[[#This Row],[DATE]])</f>
        <v>2022</v>
      </c>
      <c r="C329">
        <f>MONTH(Base_ventes[[#This Row],[DATE]])</f>
        <v>4</v>
      </c>
      <c r="D32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29" t="s">
        <v>58</v>
      </c>
      <c r="F329">
        <v>7</v>
      </c>
      <c r="G329" t="s">
        <v>87</v>
      </c>
      <c r="H329" t="s">
        <v>82</v>
      </c>
      <c r="I329">
        <v>10</v>
      </c>
      <c r="J329" t="s">
        <v>59</v>
      </c>
      <c r="K329" t="s">
        <v>60</v>
      </c>
      <c r="L329" t="s">
        <v>23</v>
      </c>
      <c r="M329">
        <v>18</v>
      </c>
      <c r="N329">
        <v>24.66</v>
      </c>
      <c r="O329">
        <f>Base_ventes[[#This Row],[BD_2.SELLING PRICE]]*Base_ventes[[#This Row],[QUANTITY]]</f>
        <v>172.62</v>
      </c>
      <c r="P329">
        <f>Base_ventes[[#This Row],[BD_2.BUYING PRIZE]]*Base_ventes[[#This Row],[QUANTITY]]</f>
        <v>126</v>
      </c>
      <c r="Q329">
        <f>Base_ventes[[#This Row],[Montant Vendu]]-Base_ventes[[#This Row],[Montant Acheté]]</f>
        <v>46.620000000000005</v>
      </c>
    </row>
    <row r="330" spans="1:17" x14ac:dyDescent="0.3">
      <c r="A330" s="1">
        <v>44660</v>
      </c>
      <c r="B330">
        <f>YEAR(Base_ventes[[#This Row],[DATE]])</f>
        <v>2022</v>
      </c>
      <c r="C330">
        <f>MONTH(Base_ventes[[#This Row],[DATE]])</f>
        <v>4</v>
      </c>
      <c r="D33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30" t="s">
        <v>100</v>
      </c>
      <c r="F330">
        <v>12</v>
      </c>
      <c r="G330" t="s">
        <v>81</v>
      </c>
      <c r="H330" t="s">
        <v>84</v>
      </c>
      <c r="I330">
        <v>4</v>
      </c>
      <c r="J330" t="s">
        <v>101</v>
      </c>
      <c r="K330" t="s">
        <v>86</v>
      </c>
      <c r="L330" t="s">
        <v>23</v>
      </c>
      <c r="M330">
        <v>37</v>
      </c>
      <c r="N330">
        <v>42.55</v>
      </c>
      <c r="O330">
        <f>Base_ventes[[#This Row],[BD_2.SELLING PRICE]]*Base_ventes[[#This Row],[QUANTITY]]</f>
        <v>510.59999999999997</v>
      </c>
      <c r="P330">
        <f>Base_ventes[[#This Row],[BD_2.BUYING PRIZE]]*Base_ventes[[#This Row],[QUANTITY]]</f>
        <v>444</v>
      </c>
      <c r="Q330">
        <f>Base_ventes[[#This Row],[Montant Vendu]]-Base_ventes[[#This Row],[Montant Acheté]]</f>
        <v>66.599999999999966</v>
      </c>
    </row>
    <row r="331" spans="1:17" x14ac:dyDescent="0.3">
      <c r="A331" s="1">
        <v>44660</v>
      </c>
      <c r="B331">
        <f>YEAR(Base_ventes[[#This Row],[DATE]])</f>
        <v>2022</v>
      </c>
      <c r="C331">
        <f>MONTH(Base_ventes[[#This Row],[DATE]])</f>
        <v>4</v>
      </c>
      <c r="D33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31" t="s">
        <v>5</v>
      </c>
      <c r="F331">
        <v>9</v>
      </c>
      <c r="G331" t="s">
        <v>82</v>
      </c>
      <c r="H331" t="s">
        <v>82</v>
      </c>
      <c r="I331">
        <v>15</v>
      </c>
      <c r="J331" t="s">
        <v>6</v>
      </c>
      <c r="K331" t="s">
        <v>3</v>
      </c>
      <c r="L331" t="s">
        <v>4</v>
      </c>
      <c r="M331">
        <v>105</v>
      </c>
      <c r="N331">
        <v>142.80000000000001</v>
      </c>
      <c r="O331">
        <f>Base_ventes[[#This Row],[BD_2.SELLING PRICE]]*Base_ventes[[#This Row],[QUANTITY]]</f>
        <v>1285.2</v>
      </c>
      <c r="P331">
        <f>Base_ventes[[#This Row],[BD_2.BUYING PRIZE]]*Base_ventes[[#This Row],[QUANTITY]]</f>
        <v>945</v>
      </c>
      <c r="Q331">
        <f>Base_ventes[[#This Row],[Montant Vendu]]-Base_ventes[[#This Row],[Montant Acheté]]</f>
        <v>340.20000000000005</v>
      </c>
    </row>
    <row r="332" spans="1:17" x14ac:dyDescent="0.3">
      <c r="A332" s="1">
        <v>44664</v>
      </c>
      <c r="B332">
        <f>YEAR(Base_ventes[[#This Row],[DATE]])</f>
        <v>2022</v>
      </c>
      <c r="C332">
        <f>MONTH(Base_ventes[[#This Row],[DATE]])</f>
        <v>4</v>
      </c>
      <c r="D33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32" t="s">
        <v>37</v>
      </c>
      <c r="F332">
        <v>14</v>
      </c>
      <c r="G332" t="s">
        <v>81</v>
      </c>
      <c r="H332" t="s">
        <v>82</v>
      </c>
      <c r="I332">
        <v>57</v>
      </c>
      <c r="J332" t="s">
        <v>38</v>
      </c>
      <c r="K332" t="s">
        <v>26</v>
      </c>
      <c r="L332" t="s">
        <v>23</v>
      </c>
      <c r="M332">
        <v>13</v>
      </c>
      <c r="N332">
        <v>16.64</v>
      </c>
      <c r="O332">
        <f>Base_ventes[[#This Row],[BD_2.SELLING PRICE]]*Base_ventes[[#This Row],[QUANTITY]]</f>
        <v>232.96</v>
      </c>
      <c r="P332">
        <f>Base_ventes[[#This Row],[BD_2.BUYING PRIZE]]*Base_ventes[[#This Row],[QUANTITY]]</f>
        <v>182</v>
      </c>
      <c r="Q332">
        <f>Base_ventes[[#This Row],[Montant Vendu]]-Base_ventes[[#This Row],[Montant Acheté]]</f>
        <v>50.960000000000008</v>
      </c>
    </row>
    <row r="333" spans="1:17" x14ac:dyDescent="0.3">
      <c r="A333" s="1">
        <v>44669</v>
      </c>
      <c r="B333">
        <f>YEAR(Base_ventes[[#This Row],[DATE]])</f>
        <v>2022</v>
      </c>
      <c r="C333">
        <f>MONTH(Base_ventes[[#This Row],[DATE]])</f>
        <v>4</v>
      </c>
      <c r="D33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33" t="s">
        <v>104</v>
      </c>
      <c r="F333">
        <v>9</v>
      </c>
      <c r="G333" t="s">
        <v>87</v>
      </c>
      <c r="H333" t="s">
        <v>84</v>
      </c>
      <c r="I333">
        <v>60</v>
      </c>
      <c r="J333" t="s">
        <v>105</v>
      </c>
      <c r="K333" t="s">
        <v>86</v>
      </c>
      <c r="L333" t="s">
        <v>14</v>
      </c>
      <c r="M333">
        <v>138</v>
      </c>
      <c r="N333">
        <v>173.88</v>
      </c>
      <c r="O333">
        <f>Base_ventes[[#This Row],[BD_2.SELLING PRICE]]*Base_ventes[[#This Row],[QUANTITY]]</f>
        <v>1564.92</v>
      </c>
      <c r="P333">
        <f>Base_ventes[[#This Row],[BD_2.BUYING PRIZE]]*Base_ventes[[#This Row],[QUANTITY]]</f>
        <v>1242</v>
      </c>
      <c r="Q333">
        <f>Base_ventes[[#This Row],[Montant Vendu]]-Base_ventes[[#This Row],[Montant Acheté]]</f>
        <v>322.92000000000007</v>
      </c>
    </row>
    <row r="334" spans="1:17" x14ac:dyDescent="0.3">
      <c r="A334" s="1">
        <v>44671</v>
      </c>
      <c r="B334">
        <f>YEAR(Base_ventes[[#This Row],[DATE]])</f>
        <v>2022</v>
      </c>
      <c r="C334">
        <f>MONTH(Base_ventes[[#This Row],[DATE]])</f>
        <v>4</v>
      </c>
      <c r="D33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34" t="s">
        <v>41</v>
      </c>
      <c r="F334">
        <v>2</v>
      </c>
      <c r="G334" t="s">
        <v>81</v>
      </c>
      <c r="H334" t="s">
        <v>82</v>
      </c>
      <c r="I334">
        <v>0</v>
      </c>
      <c r="J334" t="s">
        <v>42</v>
      </c>
      <c r="K334" t="s">
        <v>26</v>
      </c>
      <c r="L334" t="s">
        <v>23</v>
      </c>
      <c r="M334">
        <v>37</v>
      </c>
      <c r="N334">
        <v>49.21</v>
      </c>
      <c r="O334">
        <f>Base_ventes[[#This Row],[BD_2.SELLING PRICE]]*Base_ventes[[#This Row],[QUANTITY]]</f>
        <v>98.42</v>
      </c>
      <c r="P334">
        <f>Base_ventes[[#This Row],[BD_2.BUYING PRIZE]]*Base_ventes[[#This Row],[QUANTITY]]</f>
        <v>74</v>
      </c>
      <c r="Q334">
        <f>Base_ventes[[#This Row],[Montant Vendu]]-Base_ventes[[#This Row],[Montant Acheté]]</f>
        <v>24.42</v>
      </c>
    </row>
    <row r="335" spans="1:17" x14ac:dyDescent="0.3">
      <c r="A335" s="1">
        <v>44671</v>
      </c>
      <c r="B335">
        <f>YEAR(Base_ventes[[#This Row],[DATE]])</f>
        <v>2022</v>
      </c>
      <c r="C335">
        <f>MONTH(Base_ventes[[#This Row],[DATE]])</f>
        <v>4</v>
      </c>
      <c r="D33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35" t="s">
        <v>29</v>
      </c>
      <c r="F335">
        <v>4</v>
      </c>
      <c r="G335" t="s">
        <v>87</v>
      </c>
      <c r="H335" t="s">
        <v>82</v>
      </c>
      <c r="I335">
        <v>7</v>
      </c>
      <c r="J335" t="s">
        <v>30</v>
      </c>
      <c r="K335" t="s">
        <v>26</v>
      </c>
      <c r="L335" t="s">
        <v>4</v>
      </c>
      <c r="M335">
        <v>73</v>
      </c>
      <c r="N335">
        <v>94.17</v>
      </c>
      <c r="O335">
        <f>Base_ventes[[#This Row],[BD_2.SELLING PRICE]]*Base_ventes[[#This Row],[QUANTITY]]</f>
        <v>376.68</v>
      </c>
      <c r="P335">
        <f>Base_ventes[[#This Row],[BD_2.BUYING PRIZE]]*Base_ventes[[#This Row],[QUANTITY]]</f>
        <v>292</v>
      </c>
      <c r="Q335">
        <f>Base_ventes[[#This Row],[Montant Vendu]]-Base_ventes[[#This Row],[Montant Acheté]]</f>
        <v>84.68</v>
      </c>
    </row>
    <row r="336" spans="1:17" x14ac:dyDescent="0.3">
      <c r="A336" s="1">
        <v>44672</v>
      </c>
      <c r="B336">
        <f>YEAR(Base_ventes[[#This Row],[DATE]])</f>
        <v>2022</v>
      </c>
      <c r="C336">
        <f>MONTH(Base_ventes[[#This Row],[DATE]])</f>
        <v>4</v>
      </c>
      <c r="D33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36" t="s">
        <v>67</v>
      </c>
      <c r="F336">
        <v>2</v>
      </c>
      <c r="G336" t="s">
        <v>87</v>
      </c>
      <c r="H336" t="s">
        <v>84</v>
      </c>
      <c r="I336">
        <v>55</v>
      </c>
      <c r="J336" t="s">
        <v>68</v>
      </c>
      <c r="K336" t="s">
        <v>60</v>
      </c>
      <c r="L336" t="s">
        <v>14</v>
      </c>
      <c r="M336">
        <v>148</v>
      </c>
      <c r="N336">
        <v>201.28</v>
      </c>
      <c r="O336">
        <f>Base_ventes[[#This Row],[BD_2.SELLING PRICE]]*Base_ventes[[#This Row],[QUANTITY]]</f>
        <v>402.56</v>
      </c>
      <c r="P336">
        <f>Base_ventes[[#This Row],[BD_2.BUYING PRIZE]]*Base_ventes[[#This Row],[QUANTITY]]</f>
        <v>296</v>
      </c>
      <c r="Q336">
        <f>Base_ventes[[#This Row],[Montant Vendu]]-Base_ventes[[#This Row],[Montant Acheté]]</f>
        <v>106.56</v>
      </c>
    </row>
    <row r="337" spans="1:17" x14ac:dyDescent="0.3">
      <c r="A337" s="1">
        <v>44672</v>
      </c>
      <c r="B337">
        <f>YEAR(Base_ventes[[#This Row],[DATE]])</f>
        <v>2022</v>
      </c>
      <c r="C337">
        <f>MONTH(Base_ventes[[#This Row],[DATE]])</f>
        <v>4</v>
      </c>
      <c r="D33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37" t="s">
        <v>58</v>
      </c>
      <c r="F337">
        <v>14</v>
      </c>
      <c r="G337" t="s">
        <v>82</v>
      </c>
      <c r="H337" t="s">
        <v>82</v>
      </c>
      <c r="I337">
        <v>20</v>
      </c>
      <c r="J337" t="s">
        <v>59</v>
      </c>
      <c r="K337" t="s">
        <v>60</v>
      </c>
      <c r="L337" t="s">
        <v>23</v>
      </c>
      <c r="M337">
        <v>18</v>
      </c>
      <c r="N337">
        <v>24.66</v>
      </c>
      <c r="O337">
        <f>Base_ventes[[#This Row],[BD_2.SELLING PRICE]]*Base_ventes[[#This Row],[QUANTITY]]</f>
        <v>345.24</v>
      </c>
      <c r="P337">
        <f>Base_ventes[[#This Row],[BD_2.BUYING PRIZE]]*Base_ventes[[#This Row],[QUANTITY]]</f>
        <v>252</v>
      </c>
      <c r="Q337">
        <f>Base_ventes[[#This Row],[Montant Vendu]]-Base_ventes[[#This Row],[Montant Acheté]]</f>
        <v>93.240000000000009</v>
      </c>
    </row>
    <row r="338" spans="1:17" x14ac:dyDescent="0.3">
      <c r="A338" s="1">
        <v>44674</v>
      </c>
      <c r="B338">
        <f>YEAR(Base_ventes[[#This Row],[DATE]])</f>
        <v>2022</v>
      </c>
      <c r="C338">
        <f>MONTH(Base_ventes[[#This Row],[DATE]])</f>
        <v>4</v>
      </c>
      <c r="D33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38" t="s">
        <v>110</v>
      </c>
      <c r="F338">
        <v>15</v>
      </c>
      <c r="G338" t="s">
        <v>82</v>
      </c>
      <c r="H338" t="s">
        <v>82</v>
      </c>
      <c r="I338">
        <v>3</v>
      </c>
      <c r="J338" t="s">
        <v>111</v>
      </c>
      <c r="K338" t="s">
        <v>86</v>
      </c>
      <c r="L338" t="s">
        <v>4</v>
      </c>
      <c r="M338">
        <v>76</v>
      </c>
      <c r="N338">
        <v>82.08</v>
      </c>
      <c r="O338">
        <f>Base_ventes[[#This Row],[BD_2.SELLING PRICE]]*Base_ventes[[#This Row],[QUANTITY]]</f>
        <v>1231.2</v>
      </c>
      <c r="P338">
        <f>Base_ventes[[#This Row],[BD_2.BUYING PRIZE]]*Base_ventes[[#This Row],[QUANTITY]]</f>
        <v>1140</v>
      </c>
      <c r="Q338">
        <f>Base_ventes[[#This Row],[Montant Vendu]]-Base_ventes[[#This Row],[Montant Acheté]]</f>
        <v>91.200000000000045</v>
      </c>
    </row>
    <row r="339" spans="1:17" x14ac:dyDescent="0.3">
      <c r="A339" s="1">
        <v>44675</v>
      </c>
      <c r="B339">
        <f>YEAR(Base_ventes[[#This Row],[DATE]])</f>
        <v>2022</v>
      </c>
      <c r="C339">
        <f>MONTH(Base_ventes[[#This Row],[DATE]])</f>
        <v>4</v>
      </c>
      <c r="D33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39" t="s">
        <v>94</v>
      </c>
      <c r="F339">
        <v>4</v>
      </c>
      <c r="G339" t="s">
        <v>87</v>
      </c>
      <c r="H339" t="s">
        <v>82</v>
      </c>
      <c r="I339">
        <v>85</v>
      </c>
      <c r="J339" t="s">
        <v>95</v>
      </c>
      <c r="K339" t="s">
        <v>60</v>
      </c>
      <c r="L339" t="s">
        <v>11</v>
      </c>
      <c r="M339">
        <v>55</v>
      </c>
      <c r="N339">
        <v>58.3</v>
      </c>
      <c r="O339">
        <f>Base_ventes[[#This Row],[BD_2.SELLING PRICE]]*Base_ventes[[#This Row],[QUANTITY]]</f>
        <v>233.2</v>
      </c>
      <c r="P339">
        <f>Base_ventes[[#This Row],[BD_2.BUYING PRIZE]]*Base_ventes[[#This Row],[QUANTITY]]</f>
        <v>220</v>
      </c>
      <c r="Q339">
        <f>Base_ventes[[#This Row],[Montant Vendu]]-Base_ventes[[#This Row],[Montant Acheté]]</f>
        <v>13.199999999999989</v>
      </c>
    </row>
    <row r="340" spans="1:17" x14ac:dyDescent="0.3">
      <c r="A340" s="1">
        <v>44676</v>
      </c>
      <c r="B340">
        <f>YEAR(Base_ventes[[#This Row],[DATE]])</f>
        <v>2022</v>
      </c>
      <c r="C340">
        <f>MONTH(Base_ventes[[#This Row],[DATE]])</f>
        <v>4</v>
      </c>
      <c r="D34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40" t="s">
        <v>9</v>
      </c>
      <c r="F340">
        <v>9</v>
      </c>
      <c r="G340" t="s">
        <v>87</v>
      </c>
      <c r="H340" t="s">
        <v>84</v>
      </c>
      <c r="I340">
        <v>16</v>
      </c>
      <c r="J340" t="s">
        <v>10</v>
      </c>
      <c r="K340" t="s">
        <v>3</v>
      </c>
      <c r="L340" t="s">
        <v>11</v>
      </c>
      <c r="M340">
        <v>44</v>
      </c>
      <c r="N340">
        <v>48.84</v>
      </c>
      <c r="O340">
        <f>Base_ventes[[#This Row],[BD_2.SELLING PRICE]]*Base_ventes[[#This Row],[QUANTITY]]</f>
        <v>439.56000000000006</v>
      </c>
      <c r="P340">
        <f>Base_ventes[[#This Row],[BD_2.BUYING PRIZE]]*Base_ventes[[#This Row],[QUANTITY]]</f>
        <v>396</v>
      </c>
      <c r="Q340">
        <f>Base_ventes[[#This Row],[Montant Vendu]]-Base_ventes[[#This Row],[Montant Acheté]]</f>
        <v>43.560000000000059</v>
      </c>
    </row>
    <row r="341" spans="1:17" x14ac:dyDescent="0.3">
      <c r="A341" s="1">
        <v>44676</v>
      </c>
      <c r="B341">
        <f>YEAR(Base_ventes[[#This Row],[DATE]])</f>
        <v>2022</v>
      </c>
      <c r="C341">
        <f>MONTH(Base_ventes[[#This Row],[DATE]])</f>
        <v>4</v>
      </c>
      <c r="D34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41" t="s">
        <v>7</v>
      </c>
      <c r="F341">
        <v>8</v>
      </c>
      <c r="G341" t="s">
        <v>82</v>
      </c>
      <c r="H341" t="s">
        <v>82</v>
      </c>
      <c r="I341">
        <v>61</v>
      </c>
      <c r="J341" t="s">
        <v>8</v>
      </c>
      <c r="K341" t="s">
        <v>3</v>
      </c>
      <c r="L341" t="s">
        <v>4</v>
      </c>
      <c r="M341">
        <v>71</v>
      </c>
      <c r="N341">
        <v>80.94</v>
      </c>
      <c r="O341">
        <f>Base_ventes[[#This Row],[BD_2.SELLING PRICE]]*Base_ventes[[#This Row],[QUANTITY]]</f>
        <v>647.52</v>
      </c>
      <c r="P341">
        <f>Base_ventes[[#This Row],[BD_2.BUYING PRIZE]]*Base_ventes[[#This Row],[QUANTITY]]</f>
        <v>568</v>
      </c>
      <c r="Q341">
        <f>Base_ventes[[#This Row],[Montant Vendu]]-Base_ventes[[#This Row],[Montant Acheté]]</f>
        <v>79.519999999999982</v>
      </c>
    </row>
    <row r="342" spans="1:17" x14ac:dyDescent="0.3">
      <c r="A342" s="1">
        <v>44677</v>
      </c>
      <c r="B342">
        <f>YEAR(Base_ventes[[#This Row],[DATE]])</f>
        <v>2022</v>
      </c>
      <c r="C342">
        <f>MONTH(Base_ventes[[#This Row],[DATE]])</f>
        <v>4</v>
      </c>
      <c r="D34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42" t="s">
        <v>61</v>
      </c>
      <c r="F342">
        <v>2</v>
      </c>
      <c r="G342" t="s">
        <v>87</v>
      </c>
      <c r="H342" t="s">
        <v>84</v>
      </c>
      <c r="I342">
        <v>49</v>
      </c>
      <c r="J342" t="s">
        <v>62</v>
      </c>
      <c r="K342" t="s">
        <v>60</v>
      </c>
      <c r="L342" t="s">
        <v>11</v>
      </c>
      <c r="M342">
        <v>48</v>
      </c>
      <c r="N342">
        <v>57.120000000000005</v>
      </c>
      <c r="O342">
        <f>Base_ventes[[#This Row],[BD_2.SELLING PRICE]]*Base_ventes[[#This Row],[QUANTITY]]</f>
        <v>114.24000000000001</v>
      </c>
      <c r="P342">
        <f>Base_ventes[[#This Row],[BD_2.BUYING PRIZE]]*Base_ventes[[#This Row],[QUANTITY]]</f>
        <v>96</v>
      </c>
      <c r="Q342">
        <f>Base_ventes[[#This Row],[Montant Vendu]]-Base_ventes[[#This Row],[Montant Acheté]]</f>
        <v>18.240000000000009</v>
      </c>
    </row>
    <row r="343" spans="1:17" x14ac:dyDescent="0.3">
      <c r="A343" s="1">
        <v>44679</v>
      </c>
      <c r="B343">
        <f>YEAR(Base_ventes[[#This Row],[DATE]])</f>
        <v>2022</v>
      </c>
      <c r="C343">
        <f>MONTH(Base_ventes[[#This Row],[DATE]])</f>
        <v>4</v>
      </c>
      <c r="D34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43" t="s">
        <v>33</v>
      </c>
      <c r="F343">
        <v>14</v>
      </c>
      <c r="G343" t="s">
        <v>87</v>
      </c>
      <c r="H343" t="s">
        <v>84</v>
      </c>
      <c r="I343">
        <v>62</v>
      </c>
      <c r="J343" t="s">
        <v>34</v>
      </c>
      <c r="K343" t="s">
        <v>26</v>
      </c>
      <c r="L343" t="s">
        <v>4</v>
      </c>
      <c r="M343">
        <v>112</v>
      </c>
      <c r="N343">
        <v>146.72</v>
      </c>
      <c r="O343">
        <f>Base_ventes[[#This Row],[BD_2.SELLING PRICE]]*Base_ventes[[#This Row],[QUANTITY]]</f>
        <v>2054.08</v>
      </c>
      <c r="P343">
        <f>Base_ventes[[#This Row],[BD_2.BUYING PRIZE]]*Base_ventes[[#This Row],[QUANTITY]]</f>
        <v>1568</v>
      </c>
      <c r="Q343">
        <f>Base_ventes[[#This Row],[Montant Vendu]]-Base_ventes[[#This Row],[Montant Acheté]]</f>
        <v>486.07999999999993</v>
      </c>
    </row>
    <row r="344" spans="1:17" x14ac:dyDescent="0.3">
      <c r="A344" s="1">
        <v>44681</v>
      </c>
      <c r="B344">
        <f>YEAR(Base_ventes[[#This Row],[DATE]])</f>
        <v>2022</v>
      </c>
      <c r="C344">
        <f>MONTH(Base_ventes[[#This Row],[DATE]])</f>
        <v>4</v>
      </c>
      <c r="D34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44" t="s">
        <v>37</v>
      </c>
      <c r="F344">
        <v>13</v>
      </c>
      <c r="G344" t="s">
        <v>82</v>
      </c>
      <c r="H344" t="s">
        <v>82</v>
      </c>
      <c r="I344">
        <v>35</v>
      </c>
      <c r="J344" t="s">
        <v>38</v>
      </c>
      <c r="K344" t="s">
        <v>26</v>
      </c>
      <c r="L344" t="s">
        <v>23</v>
      </c>
      <c r="M344">
        <v>13</v>
      </c>
      <c r="N344">
        <v>16.64</v>
      </c>
      <c r="O344">
        <f>Base_ventes[[#This Row],[BD_2.SELLING PRICE]]*Base_ventes[[#This Row],[QUANTITY]]</f>
        <v>216.32</v>
      </c>
      <c r="P344">
        <f>Base_ventes[[#This Row],[BD_2.BUYING PRIZE]]*Base_ventes[[#This Row],[QUANTITY]]</f>
        <v>169</v>
      </c>
      <c r="Q344">
        <f>Base_ventes[[#This Row],[Montant Vendu]]-Base_ventes[[#This Row],[Montant Acheté]]</f>
        <v>47.319999999999993</v>
      </c>
    </row>
    <row r="345" spans="1:17" x14ac:dyDescent="0.3">
      <c r="A345" s="1">
        <v>44681</v>
      </c>
      <c r="B345">
        <f>YEAR(Base_ventes[[#This Row],[DATE]])</f>
        <v>2022</v>
      </c>
      <c r="C345">
        <f>MONTH(Base_ventes[[#This Row],[DATE]])</f>
        <v>4</v>
      </c>
      <c r="D34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Avril</v>
      </c>
      <c r="E345" t="s">
        <v>61</v>
      </c>
      <c r="F345">
        <v>8</v>
      </c>
      <c r="G345" t="s">
        <v>87</v>
      </c>
      <c r="H345" t="s">
        <v>82</v>
      </c>
      <c r="I345">
        <v>49</v>
      </c>
      <c r="J345" t="s">
        <v>62</v>
      </c>
      <c r="K345" t="s">
        <v>60</v>
      </c>
      <c r="L345" t="s">
        <v>11</v>
      </c>
      <c r="M345">
        <v>48</v>
      </c>
      <c r="N345">
        <v>57.120000000000005</v>
      </c>
      <c r="O345">
        <f>Base_ventes[[#This Row],[BD_2.SELLING PRICE]]*Base_ventes[[#This Row],[QUANTITY]]</f>
        <v>456.96000000000004</v>
      </c>
      <c r="P345">
        <f>Base_ventes[[#This Row],[BD_2.BUYING PRIZE]]*Base_ventes[[#This Row],[QUANTITY]]</f>
        <v>384</v>
      </c>
      <c r="Q345">
        <f>Base_ventes[[#This Row],[Montant Vendu]]-Base_ventes[[#This Row],[Montant Acheté]]</f>
        <v>72.960000000000036</v>
      </c>
    </row>
    <row r="346" spans="1:17" x14ac:dyDescent="0.3">
      <c r="A346" s="1">
        <v>44682</v>
      </c>
      <c r="B346">
        <f>YEAR(Base_ventes[[#This Row],[DATE]])</f>
        <v>2022</v>
      </c>
      <c r="C346">
        <f>MONTH(Base_ventes[[#This Row],[DATE]])</f>
        <v>5</v>
      </c>
      <c r="D34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46" t="s">
        <v>94</v>
      </c>
      <c r="F346">
        <v>9</v>
      </c>
      <c r="G346" t="s">
        <v>81</v>
      </c>
      <c r="H346" t="s">
        <v>82</v>
      </c>
      <c r="I346">
        <v>25</v>
      </c>
      <c r="J346" t="s">
        <v>95</v>
      </c>
      <c r="K346" t="s">
        <v>60</v>
      </c>
      <c r="L346" t="s">
        <v>11</v>
      </c>
      <c r="M346">
        <v>55</v>
      </c>
      <c r="N346">
        <v>58.3</v>
      </c>
      <c r="O346">
        <f>Base_ventes[[#This Row],[BD_2.SELLING PRICE]]*Base_ventes[[#This Row],[QUANTITY]]</f>
        <v>524.69999999999993</v>
      </c>
      <c r="P346">
        <f>Base_ventes[[#This Row],[BD_2.BUYING PRIZE]]*Base_ventes[[#This Row],[QUANTITY]]</f>
        <v>495</v>
      </c>
      <c r="Q346">
        <f>Base_ventes[[#This Row],[Montant Vendu]]-Base_ventes[[#This Row],[Montant Acheté]]</f>
        <v>29.699999999999932</v>
      </c>
    </row>
    <row r="347" spans="1:17" x14ac:dyDescent="0.3">
      <c r="A347" s="1">
        <v>44682</v>
      </c>
      <c r="B347">
        <f>YEAR(Base_ventes[[#This Row],[DATE]])</f>
        <v>2022</v>
      </c>
      <c r="C347">
        <f>MONTH(Base_ventes[[#This Row],[DATE]])</f>
        <v>5</v>
      </c>
      <c r="D34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47" t="s">
        <v>92</v>
      </c>
      <c r="F347">
        <v>6</v>
      </c>
      <c r="G347" t="s">
        <v>82</v>
      </c>
      <c r="H347" t="s">
        <v>82</v>
      </c>
      <c r="I347">
        <v>86</v>
      </c>
      <c r="J347" t="s">
        <v>93</v>
      </c>
      <c r="K347" t="s">
        <v>60</v>
      </c>
      <c r="L347" t="s">
        <v>4</v>
      </c>
      <c r="M347">
        <v>95</v>
      </c>
      <c r="N347">
        <v>119.7</v>
      </c>
      <c r="O347">
        <f>Base_ventes[[#This Row],[BD_2.SELLING PRICE]]*Base_ventes[[#This Row],[QUANTITY]]</f>
        <v>718.2</v>
      </c>
      <c r="P347">
        <f>Base_ventes[[#This Row],[BD_2.BUYING PRIZE]]*Base_ventes[[#This Row],[QUANTITY]]</f>
        <v>570</v>
      </c>
      <c r="Q347">
        <f>Base_ventes[[#This Row],[Montant Vendu]]-Base_ventes[[#This Row],[Montant Acheté]]</f>
        <v>148.20000000000005</v>
      </c>
    </row>
    <row r="348" spans="1:17" x14ac:dyDescent="0.3">
      <c r="A348" s="1">
        <v>44683</v>
      </c>
      <c r="B348">
        <f>YEAR(Base_ventes[[#This Row],[DATE]])</f>
        <v>2022</v>
      </c>
      <c r="C348">
        <f>MONTH(Base_ventes[[#This Row],[DATE]])</f>
        <v>5</v>
      </c>
      <c r="D34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48" t="s">
        <v>31</v>
      </c>
      <c r="F348">
        <v>4</v>
      </c>
      <c r="G348" t="s">
        <v>82</v>
      </c>
      <c r="H348" t="s">
        <v>84</v>
      </c>
      <c r="I348">
        <v>5</v>
      </c>
      <c r="J348" t="s">
        <v>32</v>
      </c>
      <c r="K348" t="s">
        <v>26</v>
      </c>
      <c r="L348" t="s">
        <v>4</v>
      </c>
      <c r="M348">
        <v>112</v>
      </c>
      <c r="N348">
        <v>122.08</v>
      </c>
      <c r="O348">
        <f>Base_ventes[[#This Row],[BD_2.SELLING PRICE]]*Base_ventes[[#This Row],[QUANTITY]]</f>
        <v>488.32</v>
      </c>
      <c r="P348">
        <f>Base_ventes[[#This Row],[BD_2.BUYING PRIZE]]*Base_ventes[[#This Row],[QUANTITY]]</f>
        <v>448</v>
      </c>
      <c r="Q348">
        <f>Base_ventes[[#This Row],[Montant Vendu]]-Base_ventes[[#This Row],[Montant Acheté]]</f>
        <v>40.319999999999993</v>
      </c>
    </row>
    <row r="349" spans="1:17" x14ac:dyDescent="0.3">
      <c r="A349" s="1">
        <v>44685</v>
      </c>
      <c r="B349">
        <f>YEAR(Base_ventes[[#This Row],[DATE]])</f>
        <v>2022</v>
      </c>
      <c r="C349">
        <f>MONTH(Base_ventes[[#This Row],[DATE]])</f>
        <v>5</v>
      </c>
      <c r="D34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49" t="s">
        <v>45</v>
      </c>
      <c r="F349">
        <v>10</v>
      </c>
      <c r="G349" t="s">
        <v>87</v>
      </c>
      <c r="H349" t="s">
        <v>82</v>
      </c>
      <c r="I349">
        <v>4</v>
      </c>
      <c r="J349" t="s">
        <v>46</v>
      </c>
      <c r="K349" t="s">
        <v>47</v>
      </c>
      <c r="L349" t="s">
        <v>11</v>
      </c>
      <c r="M349">
        <v>61</v>
      </c>
      <c r="N349">
        <v>76.25</v>
      </c>
      <c r="O349">
        <f>Base_ventes[[#This Row],[BD_2.SELLING PRICE]]*Base_ventes[[#This Row],[QUANTITY]]</f>
        <v>762.5</v>
      </c>
      <c r="P349">
        <f>Base_ventes[[#This Row],[BD_2.BUYING PRIZE]]*Base_ventes[[#This Row],[QUANTITY]]</f>
        <v>610</v>
      </c>
      <c r="Q349">
        <f>Base_ventes[[#This Row],[Montant Vendu]]-Base_ventes[[#This Row],[Montant Acheté]]</f>
        <v>152.5</v>
      </c>
    </row>
    <row r="350" spans="1:17" x14ac:dyDescent="0.3">
      <c r="A350" s="1">
        <v>44687</v>
      </c>
      <c r="B350">
        <f>YEAR(Base_ventes[[#This Row],[DATE]])</f>
        <v>2022</v>
      </c>
      <c r="C350">
        <f>MONTH(Base_ventes[[#This Row],[DATE]])</f>
        <v>5</v>
      </c>
      <c r="D35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50" t="s">
        <v>94</v>
      </c>
      <c r="F350">
        <v>7</v>
      </c>
      <c r="G350" t="s">
        <v>87</v>
      </c>
      <c r="H350" t="s">
        <v>82</v>
      </c>
      <c r="I350">
        <v>7</v>
      </c>
      <c r="J350" t="s">
        <v>95</v>
      </c>
      <c r="K350" t="s">
        <v>60</v>
      </c>
      <c r="L350" t="s">
        <v>11</v>
      </c>
      <c r="M350">
        <v>55</v>
      </c>
      <c r="N350">
        <v>58.3</v>
      </c>
      <c r="O350">
        <f>Base_ventes[[#This Row],[BD_2.SELLING PRICE]]*Base_ventes[[#This Row],[QUANTITY]]</f>
        <v>408.09999999999997</v>
      </c>
      <c r="P350">
        <f>Base_ventes[[#This Row],[BD_2.BUYING PRIZE]]*Base_ventes[[#This Row],[QUANTITY]]</f>
        <v>385</v>
      </c>
      <c r="Q350">
        <f>Base_ventes[[#This Row],[Montant Vendu]]-Base_ventes[[#This Row],[Montant Acheté]]</f>
        <v>23.099999999999966</v>
      </c>
    </row>
    <row r="351" spans="1:17" x14ac:dyDescent="0.3">
      <c r="A351" s="1">
        <v>44688</v>
      </c>
      <c r="B351">
        <f>YEAR(Base_ventes[[#This Row],[DATE]])</f>
        <v>2022</v>
      </c>
      <c r="C351">
        <f>MONTH(Base_ventes[[#This Row],[DATE]])</f>
        <v>5</v>
      </c>
      <c r="D35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51" t="s">
        <v>35</v>
      </c>
      <c r="F351">
        <v>4</v>
      </c>
      <c r="G351" t="s">
        <v>82</v>
      </c>
      <c r="H351" t="s">
        <v>84</v>
      </c>
      <c r="I351">
        <v>22</v>
      </c>
      <c r="J351" t="s">
        <v>36</v>
      </c>
      <c r="K351" t="s">
        <v>26</v>
      </c>
      <c r="L351" t="s">
        <v>23</v>
      </c>
      <c r="M351">
        <v>12</v>
      </c>
      <c r="N351">
        <v>15.719999999999999</v>
      </c>
      <c r="O351">
        <f>Base_ventes[[#This Row],[BD_2.SELLING PRICE]]*Base_ventes[[#This Row],[QUANTITY]]</f>
        <v>62.879999999999995</v>
      </c>
      <c r="P351">
        <f>Base_ventes[[#This Row],[BD_2.BUYING PRIZE]]*Base_ventes[[#This Row],[QUANTITY]]</f>
        <v>48</v>
      </c>
      <c r="Q351">
        <f>Base_ventes[[#This Row],[Montant Vendu]]-Base_ventes[[#This Row],[Montant Acheté]]</f>
        <v>14.879999999999995</v>
      </c>
    </row>
    <row r="352" spans="1:17" x14ac:dyDescent="0.3">
      <c r="A352" s="1">
        <v>44688</v>
      </c>
      <c r="B352">
        <f>YEAR(Base_ventes[[#This Row],[DATE]])</f>
        <v>2022</v>
      </c>
      <c r="C352">
        <f>MONTH(Base_ventes[[#This Row],[DATE]])</f>
        <v>5</v>
      </c>
      <c r="D35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52" t="s">
        <v>61</v>
      </c>
      <c r="F352">
        <v>1</v>
      </c>
      <c r="G352" t="s">
        <v>82</v>
      </c>
      <c r="H352" t="s">
        <v>82</v>
      </c>
      <c r="I352">
        <v>59</v>
      </c>
      <c r="J352" t="s">
        <v>62</v>
      </c>
      <c r="K352" t="s">
        <v>60</v>
      </c>
      <c r="L352" t="s">
        <v>11</v>
      </c>
      <c r="M352">
        <v>48</v>
      </c>
      <c r="N352">
        <v>57.120000000000005</v>
      </c>
      <c r="O352">
        <f>Base_ventes[[#This Row],[BD_2.SELLING PRICE]]*Base_ventes[[#This Row],[QUANTITY]]</f>
        <v>57.120000000000005</v>
      </c>
      <c r="P352">
        <f>Base_ventes[[#This Row],[BD_2.BUYING PRIZE]]*Base_ventes[[#This Row],[QUANTITY]]</f>
        <v>48</v>
      </c>
      <c r="Q352">
        <f>Base_ventes[[#This Row],[Montant Vendu]]-Base_ventes[[#This Row],[Montant Acheté]]</f>
        <v>9.1200000000000045</v>
      </c>
    </row>
    <row r="353" spans="1:17" x14ac:dyDescent="0.3">
      <c r="A353" s="1">
        <v>44689</v>
      </c>
      <c r="B353">
        <f>YEAR(Base_ventes[[#This Row],[DATE]])</f>
        <v>2022</v>
      </c>
      <c r="C353">
        <f>MONTH(Base_ventes[[#This Row],[DATE]])</f>
        <v>5</v>
      </c>
      <c r="D35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53" t="s">
        <v>50</v>
      </c>
      <c r="F353">
        <v>7</v>
      </c>
      <c r="G353" t="s">
        <v>82</v>
      </c>
      <c r="H353" t="s">
        <v>82</v>
      </c>
      <c r="I353">
        <v>72</v>
      </c>
      <c r="J353" t="s">
        <v>51</v>
      </c>
      <c r="K353" t="s">
        <v>47</v>
      </c>
      <c r="L353" t="s">
        <v>14</v>
      </c>
      <c r="M353">
        <v>121</v>
      </c>
      <c r="N353">
        <v>141.57</v>
      </c>
      <c r="O353">
        <f>Base_ventes[[#This Row],[BD_2.SELLING PRICE]]*Base_ventes[[#This Row],[QUANTITY]]</f>
        <v>990.99</v>
      </c>
      <c r="P353">
        <f>Base_ventes[[#This Row],[BD_2.BUYING PRIZE]]*Base_ventes[[#This Row],[QUANTITY]]</f>
        <v>847</v>
      </c>
      <c r="Q353">
        <f>Base_ventes[[#This Row],[Montant Vendu]]-Base_ventes[[#This Row],[Montant Acheté]]</f>
        <v>143.99</v>
      </c>
    </row>
    <row r="354" spans="1:17" x14ac:dyDescent="0.3">
      <c r="A354" s="1">
        <v>44690</v>
      </c>
      <c r="B354">
        <f>YEAR(Base_ventes[[#This Row],[DATE]])</f>
        <v>2022</v>
      </c>
      <c r="C354">
        <f>MONTH(Base_ventes[[#This Row],[DATE]])</f>
        <v>5</v>
      </c>
      <c r="D35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54" t="s">
        <v>39</v>
      </c>
      <c r="F354">
        <v>12</v>
      </c>
      <c r="G354" t="s">
        <v>81</v>
      </c>
      <c r="H354" t="s">
        <v>84</v>
      </c>
      <c r="I354">
        <v>58</v>
      </c>
      <c r="J354" t="s">
        <v>40</v>
      </c>
      <c r="K354" t="s">
        <v>26</v>
      </c>
      <c r="L354" t="s">
        <v>14</v>
      </c>
      <c r="M354">
        <v>134</v>
      </c>
      <c r="N354">
        <v>156.78</v>
      </c>
      <c r="O354">
        <f>Base_ventes[[#This Row],[BD_2.SELLING PRICE]]*Base_ventes[[#This Row],[QUANTITY]]</f>
        <v>1881.3600000000001</v>
      </c>
      <c r="P354">
        <f>Base_ventes[[#This Row],[BD_2.BUYING PRIZE]]*Base_ventes[[#This Row],[QUANTITY]]</f>
        <v>1608</v>
      </c>
      <c r="Q354">
        <f>Base_ventes[[#This Row],[Montant Vendu]]-Base_ventes[[#This Row],[Montant Acheté]]</f>
        <v>273.36000000000013</v>
      </c>
    </row>
    <row r="355" spans="1:17" x14ac:dyDescent="0.3">
      <c r="A355" s="1">
        <v>44691</v>
      </c>
      <c r="B355">
        <f>YEAR(Base_ventes[[#This Row],[DATE]])</f>
        <v>2022</v>
      </c>
      <c r="C355">
        <f>MONTH(Base_ventes[[#This Row],[DATE]])</f>
        <v>5</v>
      </c>
      <c r="D35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55" t="s">
        <v>21</v>
      </c>
      <c r="F355">
        <v>6</v>
      </c>
      <c r="G355" t="s">
        <v>87</v>
      </c>
      <c r="H355" t="s">
        <v>82</v>
      </c>
      <c r="I355">
        <v>51</v>
      </c>
      <c r="J355" t="s">
        <v>22</v>
      </c>
      <c r="K355" t="s">
        <v>3</v>
      </c>
      <c r="L355" t="s">
        <v>23</v>
      </c>
      <c r="M355">
        <v>6</v>
      </c>
      <c r="N355">
        <v>7.8599999999999994</v>
      </c>
      <c r="O355">
        <f>Base_ventes[[#This Row],[BD_2.SELLING PRICE]]*Base_ventes[[#This Row],[QUANTITY]]</f>
        <v>47.16</v>
      </c>
      <c r="P355">
        <f>Base_ventes[[#This Row],[BD_2.BUYING PRIZE]]*Base_ventes[[#This Row],[QUANTITY]]</f>
        <v>36</v>
      </c>
      <c r="Q355">
        <f>Base_ventes[[#This Row],[Montant Vendu]]-Base_ventes[[#This Row],[Montant Acheté]]</f>
        <v>11.159999999999997</v>
      </c>
    </row>
    <row r="356" spans="1:17" x14ac:dyDescent="0.3">
      <c r="A356" s="1">
        <v>44693</v>
      </c>
      <c r="B356">
        <f>YEAR(Base_ventes[[#This Row],[DATE]])</f>
        <v>2022</v>
      </c>
      <c r="C356">
        <f>MONTH(Base_ventes[[#This Row],[DATE]])</f>
        <v>5</v>
      </c>
      <c r="D35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56" t="s">
        <v>27</v>
      </c>
      <c r="F356">
        <v>7</v>
      </c>
      <c r="G356" t="s">
        <v>82</v>
      </c>
      <c r="H356" t="s">
        <v>84</v>
      </c>
      <c r="I356">
        <v>22</v>
      </c>
      <c r="J356" t="s">
        <v>28</v>
      </c>
      <c r="K356" t="s">
        <v>26</v>
      </c>
      <c r="L356" t="s">
        <v>11</v>
      </c>
      <c r="M356">
        <v>44</v>
      </c>
      <c r="N356">
        <v>48.4</v>
      </c>
      <c r="O356">
        <f>Base_ventes[[#This Row],[BD_2.SELLING PRICE]]*Base_ventes[[#This Row],[QUANTITY]]</f>
        <v>338.8</v>
      </c>
      <c r="P356">
        <f>Base_ventes[[#This Row],[BD_2.BUYING PRIZE]]*Base_ventes[[#This Row],[QUANTITY]]</f>
        <v>308</v>
      </c>
      <c r="Q356">
        <f>Base_ventes[[#This Row],[Montant Vendu]]-Base_ventes[[#This Row],[Montant Acheté]]</f>
        <v>30.800000000000011</v>
      </c>
    </row>
    <row r="357" spans="1:17" x14ac:dyDescent="0.3">
      <c r="A357" s="1">
        <v>44694</v>
      </c>
      <c r="B357">
        <f>YEAR(Base_ventes[[#This Row],[DATE]])</f>
        <v>2022</v>
      </c>
      <c r="C357">
        <f>MONTH(Base_ventes[[#This Row],[DATE]])</f>
        <v>5</v>
      </c>
      <c r="D35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57" t="s">
        <v>29</v>
      </c>
      <c r="F357">
        <v>5</v>
      </c>
      <c r="G357" t="s">
        <v>87</v>
      </c>
      <c r="H357" t="s">
        <v>82</v>
      </c>
      <c r="I357">
        <v>65</v>
      </c>
      <c r="J357" t="s">
        <v>30</v>
      </c>
      <c r="K357" t="s">
        <v>26</v>
      </c>
      <c r="L357" t="s">
        <v>4</v>
      </c>
      <c r="M357">
        <v>73</v>
      </c>
      <c r="N357">
        <v>94.17</v>
      </c>
      <c r="O357">
        <f>Base_ventes[[#This Row],[BD_2.SELLING PRICE]]*Base_ventes[[#This Row],[QUANTITY]]</f>
        <v>470.85</v>
      </c>
      <c r="P357">
        <f>Base_ventes[[#This Row],[BD_2.BUYING PRIZE]]*Base_ventes[[#This Row],[QUANTITY]]</f>
        <v>365</v>
      </c>
      <c r="Q357">
        <f>Base_ventes[[#This Row],[Montant Vendu]]-Base_ventes[[#This Row],[Montant Acheté]]</f>
        <v>105.85000000000002</v>
      </c>
    </row>
    <row r="358" spans="1:17" x14ac:dyDescent="0.3">
      <c r="A358" s="1">
        <v>44695</v>
      </c>
      <c r="B358">
        <f>YEAR(Base_ventes[[#This Row],[DATE]])</f>
        <v>2022</v>
      </c>
      <c r="C358">
        <f>MONTH(Base_ventes[[#This Row],[DATE]])</f>
        <v>5</v>
      </c>
      <c r="D35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58" t="s">
        <v>19</v>
      </c>
      <c r="F358">
        <v>14</v>
      </c>
      <c r="G358" t="s">
        <v>87</v>
      </c>
      <c r="H358" t="s">
        <v>84</v>
      </c>
      <c r="I358">
        <v>58</v>
      </c>
      <c r="J358" t="s">
        <v>20</v>
      </c>
      <c r="K358" t="s">
        <v>3</v>
      </c>
      <c r="L358" t="s">
        <v>4</v>
      </c>
      <c r="M358">
        <v>83</v>
      </c>
      <c r="N358">
        <v>94.62</v>
      </c>
      <c r="O358">
        <f>Base_ventes[[#This Row],[BD_2.SELLING PRICE]]*Base_ventes[[#This Row],[QUANTITY]]</f>
        <v>1324.68</v>
      </c>
      <c r="P358">
        <f>Base_ventes[[#This Row],[BD_2.BUYING PRIZE]]*Base_ventes[[#This Row],[QUANTITY]]</f>
        <v>1162</v>
      </c>
      <c r="Q358">
        <f>Base_ventes[[#This Row],[Montant Vendu]]-Base_ventes[[#This Row],[Montant Acheté]]</f>
        <v>162.68000000000006</v>
      </c>
    </row>
    <row r="359" spans="1:17" x14ac:dyDescent="0.3">
      <c r="A359" s="1">
        <v>44696</v>
      </c>
      <c r="B359">
        <f>YEAR(Base_ventes[[#This Row],[DATE]])</f>
        <v>2022</v>
      </c>
      <c r="C359">
        <f>MONTH(Base_ventes[[#This Row],[DATE]])</f>
        <v>5</v>
      </c>
      <c r="D35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59" t="s">
        <v>45</v>
      </c>
      <c r="F359">
        <v>5</v>
      </c>
      <c r="G359" t="s">
        <v>82</v>
      </c>
      <c r="H359" t="s">
        <v>82</v>
      </c>
      <c r="I359">
        <v>19</v>
      </c>
      <c r="J359" t="s">
        <v>46</v>
      </c>
      <c r="K359" t="s">
        <v>47</v>
      </c>
      <c r="L359" t="s">
        <v>11</v>
      </c>
      <c r="M359">
        <v>61</v>
      </c>
      <c r="N359">
        <v>76.25</v>
      </c>
      <c r="O359">
        <f>Base_ventes[[#This Row],[BD_2.SELLING PRICE]]*Base_ventes[[#This Row],[QUANTITY]]</f>
        <v>381.25</v>
      </c>
      <c r="P359">
        <f>Base_ventes[[#This Row],[BD_2.BUYING PRIZE]]*Base_ventes[[#This Row],[QUANTITY]]</f>
        <v>305</v>
      </c>
      <c r="Q359">
        <f>Base_ventes[[#This Row],[Montant Vendu]]-Base_ventes[[#This Row],[Montant Acheté]]</f>
        <v>76.25</v>
      </c>
    </row>
    <row r="360" spans="1:17" x14ac:dyDescent="0.3">
      <c r="A360" s="1">
        <v>44697</v>
      </c>
      <c r="B360">
        <f>YEAR(Base_ventes[[#This Row],[DATE]])</f>
        <v>2022</v>
      </c>
      <c r="C360">
        <f>MONTH(Base_ventes[[#This Row],[DATE]])</f>
        <v>5</v>
      </c>
      <c r="D36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60" t="s">
        <v>24</v>
      </c>
      <c r="F360">
        <v>13</v>
      </c>
      <c r="G360" t="s">
        <v>87</v>
      </c>
      <c r="H360" t="s">
        <v>84</v>
      </c>
      <c r="I360">
        <v>11</v>
      </c>
      <c r="J360" t="s">
        <v>25</v>
      </c>
      <c r="K360" t="s">
        <v>26</v>
      </c>
      <c r="L360" t="s">
        <v>14</v>
      </c>
      <c r="M360">
        <v>148</v>
      </c>
      <c r="N360">
        <v>164.28</v>
      </c>
      <c r="O360">
        <f>Base_ventes[[#This Row],[BD_2.SELLING PRICE]]*Base_ventes[[#This Row],[QUANTITY]]</f>
        <v>2135.64</v>
      </c>
      <c r="P360">
        <f>Base_ventes[[#This Row],[BD_2.BUYING PRIZE]]*Base_ventes[[#This Row],[QUANTITY]]</f>
        <v>1924</v>
      </c>
      <c r="Q360">
        <f>Base_ventes[[#This Row],[Montant Vendu]]-Base_ventes[[#This Row],[Montant Acheté]]</f>
        <v>211.63999999999987</v>
      </c>
    </row>
    <row r="361" spans="1:17" x14ac:dyDescent="0.3">
      <c r="A361" s="1">
        <v>44697</v>
      </c>
      <c r="B361">
        <f>YEAR(Base_ventes[[#This Row],[DATE]])</f>
        <v>2022</v>
      </c>
      <c r="C361">
        <f>MONTH(Base_ventes[[#This Row],[DATE]])</f>
        <v>5</v>
      </c>
      <c r="D36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61" t="s">
        <v>69</v>
      </c>
      <c r="F361">
        <v>13</v>
      </c>
      <c r="G361" t="s">
        <v>82</v>
      </c>
      <c r="H361" t="s">
        <v>82</v>
      </c>
      <c r="I361">
        <v>10</v>
      </c>
      <c r="J361" t="s">
        <v>70</v>
      </c>
      <c r="K361" t="s">
        <v>60</v>
      </c>
      <c r="L361" t="s">
        <v>4</v>
      </c>
      <c r="M361">
        <v>93</v>
      </c>
      <c r="N361">
        <v>104.16</v>
      </c>
      <c r="O361">
        <f>Base_ventes[[#This Row],[BD_2.SELLING PRICE]]*Base_ventes[[#This Row],[QUANTITY]]</f>
        <v>1354.08</v>
      </c>
      <c r="P361">
        <f>Base_ventes[[#This Row],[BD_2.BUYING PRIZE]]*Base_ventes[[#This Row],[QUANTITY]]</f>
        <v>1209</v>
      </c>
      <c r="Q361">
        <f>Base_ventes[[#This Row],[Montant Vendu]]-Base_ventes[[#This Row],[Montant Acheté]]</f>
        <v>145.07999999999993</v>
      </c>
    </row>
    <row r="362" spans="1:17" x14ac:dyDescent="0.3">
      <c r="A362" s="1">
        <v>44698</v>
      </c>
      <c r="B362">
        <f>YEAR(Base_ventes[[#This Row],[DATE]])</f>
        <v>2022</v>
      </c>
      <c r="C362">
        <f>MONTH(Base_ventes[[#This Row],[DATE]])</f>
        <v>5</v>
      </c>
      <c r="D36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62" t="s">
        <v>61</v>
      </c>
      <c r="F362">
        <v>8</v>
      </c>
      <c r="G362" t="s">
        <v>87</v>
      </c>
      <c r="H362" t="s">
        <v>84</v>
      </c>
      <c r="I362">
        <v>1</v>
      </c>
      <c r="J362" t="s">
        <v>62</v>
      </c>
      <c r="K362" t="s">
        <v>60</v>
      </c>
      <c r="L362" t="s">
        <v>11</v>
      </c>
      <c r="M362">
        <v>48</v>
      </c>
      <c r="N362">
        <v>57.120000000000005</v>
      </c>
      <c r="O362">
        <f>Base_ventes[[#This Row],[BD_2.SELLING PRICE]]*Base_ventes[[#This Row],[QUANTITY]]</f>
        <v>456.96000000000004</v>
      </c>
      <c r="P362">
        <f>Base_ventes[[#This Row],[BD_2.BUYING PRIZE]]*Base_ventes[[#This Row],[QUANTITY]]</f>
        <v>384</v>
      </c>
      <c r="Q362">
        <f>Base_ventes[[#This Row],[Montant Vendu]]-Base_ventes[[#This Row],[Montant Acheté]]</f>
        <v>72.960000000000036</v>
      </c>
    </row>
    <row r="363" spans="1:17" x14ac:dyDescent="0.3">
      <c r="A363" s="1">
        <v>44699</v>
      </c>
      <c r="B363">
        <f>YEAR(Base_ventes[[#This Row],[DATE]])</f>
        <v>2022</v>
      </c>
      <c r="C363">
        <f>MONTH(Base_ventes[[#This Row],[DATE]])</f>
        <v>5</v>
      </c>
      <c r="D36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63" t="s">
        <v>61</v>
      </c>
      <c r="F363">
        <v>4</v>
      </c>
      <c r="G363" t="s">
        <v>81</v>
      </c>
      <c r="H363" t="s">
        <v>82</v>
      </c>
      <c r="I363">
        <v>69</v>
      </c>
      <c r="J363" t="s">
        <v>62</v>
      </c>
      <c r="K363" t="s">
        <v>60</v>
      </c>
      <c r="L363" t="s">
        <v>11</v>
      </c>
      <c r="M363">
        <v>48</v>
      </c>
      <c r="N363">
        <v>57.120000000000005</v>
      </c>
      <c r="O363">
        <f>Base_ventes[[#This Row],[BD_2.SELLING PRICE]]*Base_ventes[[#This Row],[QUANTITY]]</f>
        <v>228.48000000000002</v>
      </c>
      <c r="P363">
        <f>Base_ventes[[#This Row],[BD_2.BUYING PRIZE]]*Base_ventes[[#This Row],[QUANTITY]]</f>
        <v>192</v>
      </c>
      <c r="Q363">
        <f>Base_ventes[[#This Row],[Montant Vendu]]-Base_ventes[[#This Row],[Montant Acheté]]</f>
        <v>36.480000000000018</v>
      </c>
    </row>
    <row r="364" spans="1:17" x14ac:dyDescent="0.3">
      <c r="A364" s="1">
        <v>44699</v>
      </c>
      <c r="B364">
        <f>YEAR(Base_ventes[[#This Row],[DATE]])</f>
        <v>2022</v>
      </c>
      <c r="C364">
        <f>MONTH(Base_ventes[[#This Row],[DATE]])</f>
        <v>5</v>
      </c>
      <c r="D36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64" t="s">
        <v>83</v>
      </c>
      <c r="F364">
        <v>8</v>
      </c>
      <c r="G364" t="s">
        <v>81</v>
      </c>
      <c r="H364" t="s">
        <v>82</v>
      </c>
      <c r="I364">
        <v>8</v>
      </c>
      <c r="J364" t="s">
        <v>85</v>
      </c>
      <c r="K364" t="s">
        <v>86</v>
      </c>
      <c r="L364" t="s">
        <v>4</v>
      </c>
      <c r="M364">
        <v>72</v>
      </c>
      <c r="N364">
        <v>79.92</v>
      </c>
      <c r="O364">
        <f>Base_ventes[[#This Row],[BD_2.SELLING PRICE]]*Base_ventes[[#This Row],[QUANTITY]]</f>
        <v>639.36</v>
      </c>
      <c r="P364">
        <f>Base_ventes[[#This Row],[BD_2.BUYING PRIZE]]*Base_ventes[[#This Row],[QUANTITY]]</f>
        <v>576</v>
      </c>
      <c r="Q364">
        <f>Base_ventes[[#This Row],[Montant Vendu]]-Base_ventes[[#This Row],[Montant Acheté]]</f>
        <v>63.360000000000014</v>
      </c>
    </row>
    <row r="365" spans="1:17" x14ac:dyDescent="0.3">
      <c r="A365" s="1">
        <v>44701</v>
      </c>
      <c r="B365">
        <f>YEAR(Base_ventes[[#This Row],[DATE]])</f>
        <v>2022</v>
      </c>
      <c r="C365">
        <f>MONTH(Base_ventes[[#This Row],[DATE]])</f>
        <v>5</v>
      </c>
      <c r="D36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65" t="s">
        <v>110</v>
      </c>
      <c r="F365">
        <v>15</v>
      </c>
      <c r="G365" t="s">
        <v>82</v>
      </c>
      <c r="H365" t="s">
        <v>84</v>
      </c>
      <c r="I365">
        <v>47</v>
      </c>
      <c r="J365" t="s">
        <v>111</v>
      </c>
      <c r="K365" t="s">
        <v>86</v>
      </c>
      <c r="L365" t="s">
        <v>4</v>
      </c>
      <c r="M365">
        <v>76</v>
      </c>
      <c r="N365">
        <v>82.08</v>
      </c>
      <c r="O365">
        <f>Base_ventes[[#This Row],[BD_2.SELLING PRICE]]*Base_ventes[[#This Row],[QUANTITY]]</f>
        <v>1231.2</v>
      </c>
      <c r="P365">
        <f>Base_ventes[[#This Row],[BD_2.BUYING PRIZE]]*Base_ventes[[#This Row],[QUANTITY]]</f>
        <v>1140</v>
      </c>
      <c r="Q365">
        <f>Base_ventes[[#This Row],[Montant Vendu]]-Base_ventes[[#This Row],[Montant Acheté]]</f>
        <v>91.200000000000045</v>
      </c>
    </row>
    <row r="366" spans="1:17" x14ac:dyDescent="0.3">
      <c r="A366" s="1">
        <v>44703</v>
      </c>
      <c r="B366">
        <f>YEAR(Base_ventes[[#This Row],[DATE]])</f>
        <v>2022</v>
      </c>
      <c r="C366">
        <f>MONTH(Base_ventes[[#This Row],[DATE]])</f>
        <v>5</v>
      </c>
      <c r="D36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66" t="s">
        <v>35</v>
      </c>
      <c r="F366">
        <v>12</v>
      </c>
      <c r="G366" t="s">
        <v>87</v>
      </c>
      <c r="H366" t="s">
        <v>82</v>
      </c>
      <c r="I366">
        <v>29</v>
      </c>
      <c r="J366" t="s">
        <v>36</v>
      </c>
      <c r="K366" t="s">
        <v>26</v>
      </c>
      <c r="L366" t="s">
        <v>23</v>
      </c>
      <c r="M366">
        <v>12</v>
      </c>
      <c r="N366">
        <v>15.719999999999999</v>
      </c>
      <c r="O366">
        <f>Base_ventes[[#This Row],[BD_2.SELLING PRICE]]*Base_ventes[[#This Row],[QUANTITY]]</f>
        <v>188.64</v>
      </c>
      <c r="P366">
        <f>Base_ventes[[#This Row],[BD_2.BUYING PRIZE]]*Base_ventes[[#This Row],[QUANTITY]]</f>
        <v>144</v>
      </c>
      <c r="Q366">
        <f>Base_ventes[[#This Row],[Montant Vendu]]-Base_ventes[[#This Row],[Montant Acheté]]</f>
        <v>44.639999999999986</v>
      </c>
    </row>
    <row r="367" spans="1:17" x14ac:dyDescent="0.3">
      <c r="A367" s="1">
        <v>44706</v>
      </c>
      <c r="B367">
        <f>YEAR(Base_ventes[[#This Row],[DATE]])</f>
        <v>2022</v>
      </c>
      <c r="C367">
        <f>MONTH(Base_ventes[[#This Row],[DATE]])</f>
        <v>5</v>
      </c>
      <c r="D36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67" t="s">
        <v>5</v>
      </c>
      <c r="F367">
        <v>7</v>
      </c>
      <c r="G367" t="s">
        <v>82</v>
      </c>
      <c r="H367" t="s">
        <v>82</v>
      </c>
      <c r="I367">
        <v>31</v>
      </c>
      <c r="J367" t="s">
        <v>6</v>
      </c>
      <c r="K367" t="s">
        <v>3</v>
      </c>
      <c r="L367" t="s">
        <v>4</v>
      </c>
      <c r="M367">
        <v>105</v>
      </c>
      <c r="N367">
        <v>142.80000000000001</v>
      </c>
      <c r="O367">
        <f>Base_ventes[[#This Row],[BD_2.SELLING PRICE]]*Base_ventes[[#This Row],[QUANTITY]]</f>
        <v>999.60000000000014</v>
      </c>
      <c r="P367">
        <f>Base_ventes[[#This Row],[BD_2.BUYING PRIZE]]*Base_ventes[[#This Row],[QUANTITY]]</f>
        <v>735</v>
      </c>
      <c r="Q367">
        <f>Base_ventes[[#This Row],[Montant Vendu]]-Base_ventes[[#This Row],[Montant Acheté]]</f>
        <v>264.60000000000014</v>
      </c>
    </row>
    <row r="368" spans="1:17" x14ac:dyDescent="0.3">
      <c r="A368" s="1">
        <v>44707</v>
      </c>
      <c r="B368">
        <f>YEAR(Base_ventes[[#This Row],[DATE]])</f>
        <v>2022</v>
      </c>
      <c r="C368">
        <f>MONTH(Base_ventes[[#This Row],[DATE]])</f>
        <v>5</v>
      </c>
      <c r="D36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68" t="s">
        <v>63</v>
      </c>
      <c r="F368">
        <v>2</v>
      </c>
      <c r="G368" t="s">
        <v>87</v>
      </c>
      <c r="H368" t="s">
        <v>82</v>
      </c>
      <c r="I368">
        <v>6</v>
      </c>
      <c r="J368" t="s">
        <v>64</v>
      </c>
      <c r="K368" t="s">
        <v>60</v>
      </c>
      <c r="L368" t="s">
        <v>23</v>
      </c>
      <c r="M368">
        <v>37</v>
      </c>
      <c r="N368">
        <v>41.81</v>
      </c>
      <c r="O368">
        <f>Base_ventes[[#This Row],[BD_2.SELLING PRICE]]*Base_ventes[[#This Row],[QUANTITY]]</f>
        <v>83.62</v>
      </c>
      <c r="P368">
        <f>Base_ventes[[#This Row],[BD_2.BUYING PRIZE]]*Base_ventes[[#This Row],[QUANTITY]]</f>
        <v>74</v>
      </c>
      <c r="Q368">
        <f>Base_ventes[[#This Row],[Montant Vendu]]-Base_ventes[[#This Row],[Montant Acheté]]</f>
        <v>9.6200000000000045</v>
      </c>
    </row>
    <row r="369" spans="1:17" x14ac:dyDescent="0.3">
      <c r="A369" s="1">
        <v>44707</v>
      </c>
      <c r="B369">
        <f>YEAR(Base_ventes[[#This Row],[DATE]])</f>
        <v>2022</v>
      </c>
      <c r="C369">
        <f>MONTH(Base_ventes[[#This Row],[DATE]])</f>
        <v>5</v>
      </c>
      <c r="D36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69" t="s">
        <v>61</v>
      </c>
      <c r="F369">
        <v>2</v>
      </c>
      <c r="G369" t="s">
        <v>82</v>
      </c>
      <c r="H369" t="s">
        <v>82</v>
      </c>
      <c r="I369">
        <v>69</v>
      </c>
      <c r="J369" t="s">
        <v>62</v>
      </c>
      <c r="K369" t="s">
        <v>60</v>
      </c>
      <c r="L369" t="s">
        <v>11</v>
      </c>
      <c r="M369">
        <v>48</v>
      </c>
      <c r="N369">
        <v>57.120000000000005</v>
      </c>
      <c r="O369">
        <f>Base_ventes[[#This Row],[BD_2.SELLING PRICE]]*Base_ventes[[#This Row],[QUANTITY]]</f>
        <v>114.24000000000001</v>
      </c>
      <c r="P369">
        <f>Base_ventes[[#This Row],[BD_2.BUYING PRIZE]]*Base_ventes[[#This Row],[QUANTITY]]</f>
        <v>96</v>
      </c>
      <c r="Q369">
        <f>Base_ventes[[#This Row],[Montant Vendu]]-Base_ventes[[#This Row],[Montant Acheté]]</f>
        <v>18.240000000000009</v>
      </c>
    </row>
    <row r="370" spans="1:17" x14ac:dyDescent="0.3">
      <c r="A370" s="1">
        <v>44709</v>
      </c>
      <c r="B370">
        <f>YEAR(Base_ventes[[#This Row],[DATE]])</f>
        <v>2022</v>
      </c>
      <c r="C370">
        <f>MONTH(Base_ventes[[#This Row],[DATE]])</f>
        <v>5</v>
      </c>
      <c r="D37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70" t="s">
        <v>104</v>
      </c>
      <c r="F370">
        <v>10</v>
      </c>
      <c r="G370" t="s">
        <v>81</v>
      </c>
      <c r="H370" t="s">
        <v>84</v>
      </c>
      <c r="I370">
        <v>16</v>
      </c>
      <c r="J370" t="s">
        <v>105</v>
      </c>
      <c r="K370" t="s">
        <v>86</v>
      </c>
      <c r="L370" t="s">
        <v>14</v>
      </c>
      <c r="M370">
        <v>138</v>
      </c>
      <c r="N370">
        <v>173.88</v>
      </c>
      <c r="O370">
        <f>Base_ventes[[#This Row],[BD_2.SELLING PRICE]]*Base_ventes[[#This Row],[QUANTITY]]</f>
        <v>1738.8</v>
      </c>
      <c r="P370">
        <f>Base_ventes[[#This Row],[BD_2.BUYING PRIZE]]*Base_ventes[[#This Row],[QUANTITY]]</f>
        <v>1380</v>
      </c>
      <c r="Q370">
        <f>Base_ventes[[#This Row],[Montant Vendu]]-Base_ventes[[#This Row],[Montant Acheté]]</f>
        <v>358.79999999999995</v>
      </c>
    </row>
    <row r="371" spans="1:17" x14ac:dyDescent="0.3">
      <c r="A371" s="1">
        <v>44709</v>
      </c>
      <c r="B371">
        <f>YEAR(Base_ventes[[#This Row],[DATE]])</f>
        <v>2022</v>
      </c>
      <c r="C371">
        <f>MONTH(Base_ventes[[#This Row],[DATE]])</f>
        <v>5</v>
      </c>
      <c r="D37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71" t="s">
        <v>19</v>
      </c>
      <c r="F371">
        <v>5</v>
      </c>
      <c r="G371" t="s">
        <v>81</v>
      </c>
      <c r="H371" t="s">
        <v>82</v>
      </c>
      <c r="I371">
        <v>27</v>
      </c>
      <c r="J371" t="s">
        <v>20</v>
      </c>
      <c r="K371" t="s">
        <v>3</v>
      </c>
      <c r="L371" t="s">
        <v>4</v>
      </c>
      <c r="M371">
        <v>83</v>
      </c>
      <c r="N371">
        <v>94.62</v>
      </c>
      <c r="O371">
        <f>Base_ventes[[#This Row],[BD_2.SELLING PRICE]]*Base_ventes[[#This Row],[QUANTITY]]</f>
        <v>473.1</v>
      </c>
      <c r="P371">
        <f>Base_ventes[[#This Row],[BD_2.BUYING PRIZE]]*Base_ventes[[#This Row],[QUANTITY]]</f>
        <v>415</v>
      </c>
      <c r="Q371">
        <f>Base_ventes[[#This Row],[Montant Vendu]]-Base_ventes[[#This Row],[Montant Acheté]]</f>
        <v>58.100000000000023</v>
      </c>
    </row>
    <row r="372" spans="1:17" x14ac:dyDescent="0.3">
      <c r="A372" s="1">
        <v>44709</v>
      </c>
      <c r="B372">
        <f>YEAR(Base_ventes[[#This Row],[DATE]])</f>
        <v>2022</v>
      </c>
      <c r="C372">
        <f>MONTH(Base_ventes[[#This Row],[DATE]])</f>
        <v>5</v>
      </c>
      <c r="D37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72" t="s">
        <v>24</v>
      </c>
      <c r="F372">
        <v>9</v>
      </c>
      <c r="G372" t="s">
        <v>82</v>
      </c>
      <c r="H372" t="s">
        <v>84</v>
      </c>
      <c r="I372">
        <v>54</v>
      </c>
      <c r="J372" t="s">
        <v>25</v>
      </c>
      <c r="K372" t="s">
        <v>26</v>
      </c>
      <c r="L372" t="s">
        <v>14</v>
      </c>
      <c r="M372">
        <v>148</v>
      </c>
      <c r="N372">
        <v>164.28</v>
      </c>
      <c r="O372">
        <f>Base_ventes[[#This Row],[BD_2.SELLING PRICE]]*Base_ventes[[#This Row],[QUANTITY]]</f>
        <v>1478.52</v>
      </c>
      <c r="P372">
        <f>Base_ventes[[#This Row],[BD_2.BUYING PRIZE]]*Base_ventes[[#This Row],[QUANTITY]]</f>
        <v>1332</v>
      </c>
      <c r="Q372">
        <f>Base_ventes[[#This Row],[Montant Vendu]]-Base_ventes[[#This Row],[Montant Acheté]]</f>
        <v>146.51999999999998</v>
      </c>
    </row>
    <row r="373" spans="1:17" x14ac:dyDescent="0.3">
      <c r="A373" s="1">
        <v>44709</v>
      </c>
      <c r="B373">
        <f>YEAR(Base_ventes[[#This Row],[DATE]])</f>
        <v>2022</v>
      </c>
      <c r="C373">
        <f>MONTH(Base_ventes[[#This Row],[DATE]])</f>
        <v>5</v>
      </c>
      <c r="D37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73" t="s">
        <v>9</v>
      </c>
      <c r="F373">
        <v>12</v>
      </c>
      <c r="G373" t="s">
        <v>82</v>
      </c>
      <c r="H373" t="s">
        <v>82</v>
      </c>
      <c r="I373">
        <v>21</v>
      </c>
      <c r="J373" t="s">
        <v>10</v>
      </c>
      <c r="K373" t="s">
        <v>3</v>
      </c>
      <c r="L373" t="s">
        <v>11</v>
      </c>
      <c r="M373">
        <v>44</v>
      </c>
      <c r="N373">
        <v>48.84</v>
      </c>
      <c r="O373">
        <f>Base_ventes[[#This Row],[BD_2.SELLING PRICE]]*Base_ventes[[#This Row],[QUANTITY]]</f>
        <v>586.08000000000004</v>
      </c>
      <c r="P373">
        <f>Base_ventes[[#This Row],[BD_2.BUYING PRIZE]]*Base_ventes[[#This Row],[QUANTITY]]</f>
        <v>528</v>
      </c>
      <c r="Q373">
        <f>Base_ventes[[#This Row],[Montant Vendu]]-Base_ventes[[#This Row],[Montant Acheté]]</f>
        <v>58.080000000000041</v>
      </c>
    </row>
    <row r="374" spans="1:17" x14ac:dyDescent="0.3">
      <c r="A374" s="1">
        <v>44709</v>
      </c>
      <c r="B374">
        <f>YEAR(Base_ventes[[#This Row],[DATE]])</f>
        <v>2022</v>
      </c>
      <c r="C374">
        <f>MONTH(Base_ventes[[#This Row],[DATE]])</f>
        <v>5</v>
      </c>
      <c r="D37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74" t="s">
        <v>45</v>
      </c>
      <c r="F374">
        <v>14</v>
      </c>
      <c r="G374" t="s">
        <v>87</v>
      </c>
      <c r="H374" t="s">
        <v>84</v>
      </c>
      <c r="I374">
        <v>41</v>
      </c>
      <c r="J374" t="s">
        <v>46</v>
      </c>
      <c r="K374" t="s">
        <v>47</v>
      </c>
      <c r="L374" t="s">
        <v>11</v>
      </c>
      <c r="M374">
        <v>61</v>
      </c>
      <c r="N374">
        <v>76.25</v>
      </c>
      <c r="O374">
        <f>Base_ventes[[#This Row],[BD_2.SELLING PRICE]]*Base_ventes[[#This Row],[QUANTITY]]</f>
        <v>1067.5</v>
      </c>
      <c r="P374">
        <f>Base_ventes[[#This Row],[BD_2.BUYING PRIZE]]*Base_ventes[[#This Row],[QUANTITY]]</f>
        <v>854</v>
      </c>
      <c r="Q374">
        <f>Base_ventes[[#This Row],[Montant Vendu]]-Base_ventes[[#This Row],[Montant Acheté]]</f>
        <v>213.5</v>
      </c>
    </row>
    <row r="375" spans="1:17" x14ac:dyDescent="0.3">
      <c r="A375" s="1">
        <v>44711</v>
      </c>
      <c r="B375">
        <f>YEAR(Base_ventes[[#This Row],[DATE]])</f>
        <v>2022</v>
      </c>
      <c r="C375">
        <f>MONTH(Base_ventes[[#This Row],[DATE]])</f>
        <v>5</v>
      </c>
      <c r="D37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75" t="s">
        <v>110</v>
      </c>
      <c r="F375">
        <v>9</v>
      </c>
      <c r="G375" t="s">
        <v>87</v>
      </c>
      <c r="H375" t="s">
        <v>82</v>
      </c>
      <c r="I375">
        <v>40</v>
      </c>
      <c r="J375" t="s">
        <v>111</v>
      </c>
      <c r="K375" t="s">
        <v>86</v>
      </c>
      <c r="L375" t="s">
        <v>4</v>
      </c>
      <c r="M375">
        <v>76</v>
      </c>
      <c r="N375">
        <v>82.08</v>
      </c>
      <c r="O375">
        <f>Base_ventes[[#This Row],[BD_2.SELLING PRICE]]*Base_ventes[[#This Row],[QUANTITY]]</f>
        <v>738.72</v>
      </c>
      <c r="P375">
        <f>Base_ventes[[#This Row],[BD_2.BUYING PRIZE]]*Base_ventes[[#This Row],[QUANTITY]]</f>
        <v>684</v>
      </c>
      <c r="Q375">
        <f>Base_ventes[[#This Row],[Montant Vendu]]-Base_ventes[[#This Row],[Montant Acheté]]</f>
        <v>54.720000000000027</v>
      </c>
    </row>
    <row r="376" spans="1:17" x14ac:dyDescent="0.3">
      <c r="A376" s="1">
        <v>44711</v>
      </c>
      <c r="B376">
        <f>YEAR(Base_ventes[[#This Row],[DATE]])</f>
        <v>2022</v>
      </c>
      <c r="C376">
        <f>MONTH(Base_ventes[[#This Row],[DATE]])</f>
        <v>5</v>
      </c>
      <c r="D37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76" t="s">
        <v>12</v>
      </c>
      <c r="F376">
        <v>4</v>
      </c>
      <c r="G376" t="s">
        <v>81</v>
      </c>
      <c r="H376" t="s">
        <v>84</v>
      </c>
      <c r="I376">
        <v>68</v>
      </c>
      <c r="J376" t="s">
        <v>13</v>
      </c>
      <c r="K376" t="s">
        <v>3</v>
      </c>
      <c r="L376" t="s">
        <v>14</v>
      </c>
      <c r="M376">
        <v>133</v>
      </c>
      <c r="N376">
        <v>155.61000000000001</v>
      </c>
      <c r="O376">
        <f>Base_ventes[[#This Row],[BD_2.SELLING PRICE]]*Base_ventes[[#This Row],[QUANTITY]]</f>
        <v>622.44000000000005</v>
      </c>
      <c r="P376">
        <f>Base_ventes[[#This Row],[BD_2.BUYING PRIZE]]*Base_ventes[[#This Row],[QUANTITY]]</f>
        <v>532</v>
      </c>
      <c r="Q376">
        <f>Base_ventes[[#This Row],[Montant Vendu]]-Base_ventes[[#This Row],[Montant Acheté]]</f>
        <v>90.440000000000055</v>
      </c>
    </row>
    <row r="377" spans="1:17" x14ac:dyDescent="0.3">
      <c r="A377" s="1">
        <v>44711</v>
      </c>
      <c r="B377">
        <f>YEAR(Base_ventes[[#This Row],[DATE]])</f>
        <v>2022</v>
      </c>
      <c r="C377">
        <f>MONTH(Base_ventes[[#This Row],[DATE]])</f>
        <v>5</v>
      </c>
      <c r="D37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Mai</v>
      </c>
      <c r="E377" t="s">
        <v>92</v>
      </c>
      <c r="F377">
        <v>3</v>
      </c>
      <c r="G377" t="s">
        <v>82</v>
      </c>
      <c r="H377" t="s">
        <v>84</v>
      </c>
      <c r="I377">
        <v>0</v>
      </c>
      <c r="J377" t="s">
        <v>93</v>
      </c>
      <c r="K377" t="s">
        <v>60</v>
      </c>
      <c r="L377" t="s">
        <v>4</v>
      </c>
      <c r="M377">
        <v>95</v>
      </c>
      <c r="N377">
        <v>119.7</v>
      </c>
      <c r="O377">
        <f>Base_ventes[[#This Row],[BD_2.SELLING PRICE]]*Base_ventes[[#This Row],[QUANTITY]]</f>
        <v>359.1</v>
      </c>
      <c r="P377">
        <f>Base_ventes[[#This Row],[BD_2.BUYING PRIZE]]*Base_ventes[[#This Row],[QUANTITY]]</f>
        <v>285</v>
      </c>
      <c r="Q377">
        <f>Base_ventes[[#This Row],[Montant Vendu]]-Base_ventes[[#This Row],[Montant Acheté]]</f>
        <v>74.100000000000023</v>
      </c>
    </row>
    <row r="378" spans="1:17" x14ac:dyDescent="0.3">
      <c r="A378" s="1">
        <v>44715</v>
      </c>
      <c r="B378">
        <f>YEAR(Base_ventes[[#This Row],[DATE]])</f>
        <v>2022</v>
      </c>
      <c r="C378">
        <f>MONTH(Base_ventes[[#This Row],[DATE]])</f>
        <v>6</v>
      </c>
      <c r="D37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378" t="s">
        <v>19</v>
      </c>
      <c r="F378">
        <v>14</v>
      </c>
      <c r="G378" t="s">
        <v>82</v>
      </c>
      <c r="H378" t="s">
        <v>82</v>
      </c>
      <c r="I378">
        <v>73</v>
      </c>
      <c r="J378" t="s">
        <v>20</v>
      </c>
      <c r="K378" t="s">
        <v>3</v>
      </c>
      <c r="L378" t="s">
        <v>4</v>
      </c>
      <c r="M378">
        <v>83</v>
      </c>
      <c r="N378">
        <v>94.62</v>
      </c>
      <c r="O378">
        <f>Base_ventes[[#This Row],[BD_2.SELLING PRICE]]*Base_ventes[[#This Row],[QUANTITY]]</f>
        <v>1324.68</v>
      </c>
      <c r="P378">
        <f>Base_ventes[[#This Row],[BD_2.BUYING PRIZE]]*Base_ventes[[#This Row],[QUANTITY]]</f>
        <v>1162</v>
      </c>
      <c r="Q378">
        <f>Base_ventes[[#This Row],[Montant Vendu]]-Base_ventes[[#This Row],[Montant Acheté]]</f>
        <v>162.68000000000006</v>
      </c>
    </row>
    <row r="379" spans="1:17" x14ac:dyDescent="0.3">
      <c r="A379" s="1">
        <v>44722</v>
      </c>
      <c r="B379">
        <f>YEAR(Base_ventes[[#This Row],[DATE]])</f>
        <v>2022</v>
      </c>
      <c r="C379">
        <f>MONTH(Base_ventes[[#This Row],[DATE]])</f>
        <v>6</v>
      </c>
      <c r="D37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379" t="s">
        <v>63</v>
      </c>
      <c r="F379">
        <v>8</v>
      </c>
      <c r="G379" t="s">
        <v>81</v>
      </c>
      <c r="H379" t="s">
        <v>82</v>
      </c>
      <c r="I379">
        <v>31</v>
      </c>
      <c r="J379" t="s">
        <v>64</v>
      </c>
      <c r="K379" t="s">
        <v>60</v>
      </c>
      <c r="L379" t="s">
        <v>23</v>
      </c>
      <c r="M379">
        <v>37</v>
      </c>
      <c r="N379">
        <v>41.81</v>
      </c>
      <c r="O379">
        <f>Base_ventes[[#This Row],[BD_2.SELLING PRICE]]*Base_ventes[[#This Row],[QUANTITY]]</f>
        <v>334.48</v>
      </c>
      <c r="P379">
        <f>Base_ventes[[#This Row],[BD_2.BUYING PRIZE]]*Base_ventes[[#This Row],[QUANTITY]]</f>
        <v>296</v>
      </c>
      <c r="Q379">
        <f>Base_ventes[[#This Row],[Montant Vendu]]-Base_ventes[[#This Row],[Montant Acheté]]</f>
        <v>38.480000000000018</v>
      </c>
    </row>
    <row r="380" spans="1:17" x14ac:dyDescent="0.3">
      <c r="A380" s="1">
        <v>44723</v>
      </c>
      <c r="B380">
        <f>YEAR(Base_ventes[[#This Row],[DATE]])</f>
        <v>2022</v>
      </c>
      <c r="C380">
        <f>MONTH(Base_ventes[[#This Row],[DATE]])</f>
        <v>6</v>
      </c>
      <c r="D38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380" t="s">
        <v>100</v>
      </c>
      <c r="F380">
        <v>13</v>
      </c>
      <c r="G380" t="s">
        <v>82</v>
      </c>
      <c r="H380" t="s">
        <v>84</v>
      </c>
      <c r="I380">
        <v>36</v>
      </c>
      <c r="J380" t="s">
        <v>101</v>
      </c>
      <c r="K380" t="s">
        <v>86</v>
      </c>
      <c r="L380" t="s">
        <v>23</v>
      </c>
      <c r="M380">
        <v>37</v>
      </c>
      <c r="N380">
        <v>42.55</v>
      </c>
      <c r="O380">
        <f>Base_ventes[[#This Row],[BD_2.SELLING PRICE]]*Base_ventes[[#This Row],[QUANTITY]]</f>
        <v>553.15</v>
      </c>
      <c r="P380">
        <f>Base_ventes[[#This Row],[BD_2.BUYING PRIZE]]*Base_ventes[[#This Row],[QUANTITY]]</f>
        <v>481</v>
      </c>
      <c r="Q380">
        <f>Base_ventes[[#This Row],[Montant Vendu]]-Base_ventes[[#This Row],[Montant Acheté]]</f>
        <v>72.149999999999977</v>
      </c>
    </row>
    <row r="381" spans="1:17" x14ac:dyDescent="0.3">
      <c r="A381" s="1">
        <v>44723</v>
      </c>
      <c r="B381">
        <f>YEAR(Base_ventes[[#This Row],[DATE]])</f>
        <v>2022</v>
      </c>
      <c r="C381">
        <f>MONTH(Base_ventes[[#This Row],[DATE]])</f>
        <v>6</v>
      </c>
      <c r="D38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381" t="s">
        <v>48</v>
      </c>
      <c r="F381">
        <v>6</v>
      </c>
      <c r="G381" t="s">
        <v>87</v>
      </c>
      <c r="H381" t="s">
        <v>82</v>
      </c>
      <c r="I381">
        <v>34</v>
      </c>
      <c r="J381" t="s">
        <v>49</v>
      </c>
      <c r="K381" t="s">
        <v>47</v>
      </c>
      <c r="L381" t="s">
        <v>14</v>
      </c>
      <c r="M381">
        <v>126</v>
      </c>
      <c r="N381">
        <v>162.54</v>
      </c>
      <c r="O381">
        <f>Base_ventes[[#This Row],[BD_2.SELLING PRICE]]*Base_ventes[[#This Row],[QUANTITY]]</f>
        <v>975.24</v>
      </c>
      <c r="P381">
        <f>Base_ventes[[#This Row],[BD_2.BUYING PRIZE]]*Base_ventes[[#This Row],[QUANTITY]]</f>
        <v>756</v>
      </c>
      <c r="Q381">
        <f>Base_ventes[[#This Row],[Montant Vendu]]-Base_ventes[[#This Row],[Montant Acheté]]</f>
        <v>219.24</v>
      </c>
    </row>
    <row r="382" spans="1:17" x14ac:dyDescent="0.3">
      <c r="A382" s="1">
        <v>44725</v>
      </c>
      <c r="B382">
        <f>YEAR(Base_ventes[[#This Row],[DATE]])</f>
        <v>2022</v>
      </c>
      <c r="C382">
        <f>MONTH(Base_ventes[[#This Row],[DATE]])</f>
        <v>6</v>
      </c>
      <c r="D38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382" t="s">
        <v>58</v>
      </c>
      <c r="F382">
        <v>6</v>
      </c>
      <c r="G382" t="s">
        <v>87</v>
      </c>
      <c r="H382" t="s">
        <v>84</v>
      </c>
      <c r="I382">
        <v>57</v>
      </c>
      <c r="J382" t="s">
        <v>59</v>
      </c>
      <c r="K382" t="s">
        <v>60</v>
      </c>
      <c r="L382" t="s">
        <v>23</v>
      </c>
      <c r="M382">
        <v>18</v>
      </c>
      <c r="N382">
        <v>24.66</v>
      </c>
      <c r="O382">
        <f>Base_ventes[[#This Row],[BD_2.SELLING PRICE]]*Base_ventes[[#This Row],[QUANTITY]]</f>
        <v>147.96</v>
      </c>
      <c r="P382">
        <f>Base_ventes[[#This Row],[BD_2.BUYING PRIZE]]*Base_ventes[[#This Row],[QUANTITY]]</f>
        <v>108</v>
      </c>
      <c r="Q382">
        <f>Base_ventes[[#This Row],[Montant Vendu]]-Base_ventes[[#This Row],[Montant Acheté]]</f>
        <v>39.960000000000008</v>
      </c>
    </row>
    <row r="383" spans="1:17" x14ac:dyDescent="0.3">
      <c r="A383" s="1">
        <v>44727</v>
      </c>
      <c r="B383">
        <f>YEAR(Base_ventes[[#This Row],[DATE]])</f>
        <v>2022</v>
      </c>
      <c r="C383">
        <f>MONTH(Base_ventes[[#This Row],[DATE]])</f>
        <v>6</v>
      </c>
      <c r="D38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383" t="s">
        <v>106</v>
      </c>
      <c r="F383">
        <v>15</v>
      </c>
      <c r="G383" t="s">
        <v>81</v>
      </c>
      <c r="H383" t="s">
        <v>82</v>
      </c>
      <c r="I383">
        <v>6</v>
      </c>
      <c r="J383" t="s">
        <v>107</v>
      </c>
      <c r="K383" t="s">
        <v>86</v>
      </c>
      <c r="L383" t="s">
        <v>14</v>
      </c>
      <c r="M383">
        <v>120</v>
      </c>
      <c r="N383">
        <v>162</v>
      </c>
      <c r="O383">
        <f>Base_ventes[[#This Row],[BD_2.SELLING PRICE]]*Base_ventes[[#This Row],[QUANTITY]]</f>
        <v>2430</v>
      </c>
      <c r="P383">
        <f>Base_ventes[[#This Row],[BD_2.BUYING PRIZE]]*Base_ventes[[#This Row],[QUANTITY]]</f>
        <v>1800</v>
      </c>
      <c r="Q383">
        <f>Base_ventes[[#This Row],[Montant Vendu]]-Base_ventes[[#This Row],[Montant Acheté]]</f>
        <v>630</v>
      </c>
    </row>
    <row r="384" spans="1:17" x14ac:dyDescent="0.3">
      <c r="A384" s="1">
        <v>44728</v>
      </c>
      <c r="B384">
        <f>YEAR(Base_ventes[[#This Row],[DATE]])</f>
        <v>2022</v>
      </c>
      <c r="C384">
        <f>MONTH(Base_ventes[[#This Row],[DATE]])</f>
        <v>6</v>
      </c>
      <c r="D38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384" t="s">
        <v>65</v>
      </c>
      <c r="F384">
        <v>15</v>
      </c>
      <c r="G384" t="s">
        <v>82</v>
      </c>
      <c r="H384" t="s">
        <v>84</v>
      </c>
      <c r="I384">
        <v>9</v>
      </c>
      <c r="J384" t="s">
        <v>66</v>
      </c>
      <c r="K384" t="s">
        <v>60</v>
      </c>
      <c r="L384" t="s">
        <v>11</v>
      </c>
      <c r="M384">
        <v>47</v>
      </c>
      <c r="N384">
        <v>53.11</v>
      </c>
      <c r="O384">
        <f>Base_ventes[[#This Row],[BD_2.SELLING PRICE]]*Base_ventes[[#This Row],[QUANTITY]]</f>
        <v>796.65</v>
      </c>
      <c r="P384">
        <f>Base_ventes[[#This Row],[BD_2.BUYING PRIZE]]*Base_ventes[[#This Row],[QUANTITY]]</f>
        <v>705</v>
      </c>
      <c r="Q384">
        <f>Base_ventes[[#This Row],[Montant Vendu]]-Base_ventes[[#This Row],[Montant Acheté]]</f>
        <v>91.649999999999977</v>
      </c>
    </row>
    <row r="385" spans="1:17" x14ac:dyDescent="0.3">
      <c r="A385" s="1">
        <v>44731</v>
      </c>
      <c r="B385">
        <f>YEAR(Base_ventes[[#This Row],[DATE]])</f>
        <v>2022</v>
      </c>
      <c r="C385">
        <f>MONTH(Base_ventes[[#This Row],[DATE]])</f>
        <v>6</v>
      </c>
      <c r="D38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385" t="s">
        <v>5</v>
      </c>
      <c r="F385">
        <v>8</v>
      </c>
      <c r="G385" t="s">
        <v>87</v>
      </c>
      <c r="H385" t="s">
        <v>84</v>
      </c>
      <c r="I385">
        <v>35</v>
      </c>
      <c r="J385" t="s">
        <v>6</v>
      </c>
      <c r="K385" t="s">
        <v>3</v>
      </c>
      <c r="L385" t="s">
        <v>4</v>
      </c>
      <c r="M385">
        <v>105</v>
      </c>
      <c r="N385">
        <v>142.80000000000001</v>
      </c>
      <c r="O385">
        <f>Base_ventes[[#This Row],[BD_2.SELLING PRICE]]*Base_ventes[[#This Row],[QUANTITY]]</f>
        <v>1142.4000000000001</v>
      </c>
      <c r="P385">
        <f>Base_ventes[[#This Row],[BD_2.BUYING PRIZE]]*Base_ventes[[#This Row],[QUANTITY]]</f>
        <v>840</v>
      </c>
      <c r="Q385">
        <f>Base_ventes[[#This Row],[Montant Vendu]]-Base_ventes[[#This Row],[Montant Acheté]]</f>
        <v>302.40000000000009</v>
      </c>
    </row>
    <row r="386" spans="1:17" x14ac:dyDescent="0.3">
      <c r="A386" s="1">
        <v>44733</v>
      </c>
      <c r="B386">
        <f>YEAR(Base_ventes[[#This Row],[DATE]])</f>
        <v>2022</v>
      </c>
      <c r="C386">
        <f>MONTH(Base_ventes[[#This Row],[DATE]])</f>
        <v>6</v>
      </c>
      <c r="D38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386" t="s">
        <v>39</v>
      </c>
      <c r="F386">
        <v>14</v>
      </c>
      <c r="G386" t="s">
        <v>87</v>
      </c>
      <c r="H386" t="s">
        <v>84</v>
      </c>
      <c r="I386">
        <v>7</v>
      </c>
      <c r="J386" t="s">
        <v>40</v>
      </c>
      <c r="K386" t="s">
        <v>26</v>
      </c>
      <c r="L386" t="s">
        <v>14</v>
      </c>
      <c r="M386">
        <v>134</v>
      </c>
      <c r="N386">
        <v>156.78</v>
      </c>
      <c r="O386">
        <f>Base_ventes[[#This Row],[BD_2.SELLING PRICE]]*Base_ventes[[#This Row],[QUANTITY]]</f>
        <v>2194.92</v>
      </c>
      <c r="P386">
        <f>Base_ventes[[#This Row],[BD_2.BUYING PRIZE]]*Base_ventes[[#This Row],[QUANTITY]]</f>
        <v>1876</v>
      </c>
      <c r="Q386">
        <f>Base_ventes[[#This Row],[Montant Vendu]]-Base_ventes[[#This Row],[Montant Acheté]]</f>
        <v>318.92000000000007</v>
      </c>
    </row>
    <row r="387" spans="1:17" x14ac:dyDescent="0.3">
      <c r="A387" s="1">
        <v>44734</v>
      </c>
      <c r="B387">
        <f>YEAR(Base_ventes[[#This Row],[DATE]])</f>
        <v>2022</v>
      </c>
      <c r="C387">
        <f>MONTH(Base_ventes[[#This Row],[DATE]])</f>
        <v>6</v>
      </c>
      <c r="D38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387" t="s">
        <v>102</v>
      </c>
      <c r="F387">
        <v>10</v>
      </c>
      <c r="G387" t="s">
        <v>82</v>
      </c>
      <c r="H387" t="s">
        <v>84</v>
      </c>
      <c r="I387">
        <v>38</v>
      </c>
      <c r="J387" t="s">
        <v>103</v>
      </c>
      <c r="K387" t="s">
        <v>86</v>
      </c>
      <c r="L387" t="s">
        <v>4</v>
      </c>
      <c r="M387">
        <v>90</v>
      </c>
      <c r="N387">
        <v>115.2</v>
      </c>
      <c r="O387">
        <f>Base_ventes[[#This Row],[BD_2.SELLING PRICE]]*Base_ventes[[#This Row],[QUANTITY]]</f>
        <v>1152</v>
      </c>
      <c r="P387">
        <f>Base_ventes[[#This Row],[BD_2.BUYING PRIZE]]*Base_ventes[[#This Row],[QUANTITY]]</f>
        <v>900</v>
      </c>
      <c r="Q387">
        <f>Base_ventes[[#This Row],[Montant Vendu]]-Base_ventes[[#This Row],[Montant Acheté]]</f>
        <v>252</v>
      </c>
    </row>
    <row r="388" spans="1:17" x14ac:dyDescent="0.3">
      <c r="A388" s="1">
        <v>44734</v>
      </c>
      <c r="B388">
        <f>YEAR(Base_ventes[[#This Row],[DATE]])</f>
        <v>2022</v>
      </c>
      <c r="C388">
        <f>MONTH(Base_ventes[[#This Row],[DATE]])</f>
        <v>6</v>
      </c>
      <c r="D38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388" t="s">
        <v>1</v>
      </c>
      <c r="F388">
        <v>4</v>
      </c>
      <c r="G388" t="s">
        <v>87</v>
      </c>
      <c r="H388" t="s">
        <v>84</v>
      </c>
      <c r="I388">
        <v>57</v>
      </c>
      <c r="J388" t="s">
        <v>2</v>
      </c>
      <c r="K388" t="s">
        <v>3</v>
      </c>
      <c r="L388" t="s">
        <v>4</v>
      </c>
      <c r="M388">
        <v>98</v>
      </c>
      <c r="N388">
        <v>103.88</v>
      </c>
      <c r="O388">
        <f>Base_ventes[[#This Row],[BD_2.SELLING PRICE]]*Base_ventes[[#This Row],[QUANTITY]]</f>
        <v>415.52</v>
      </c>
      <c r="P388">
        <f>Base_ventes[[#This Row],[BD_2.BUYING PRIZE]]*Base_ventes[[#This Row],[QUANTITY]]</f>
        <v>392</v>
      </c>
      <c r="Q388">
        <f>Base_ventes[[#This Row],[Montant Vendu]]-Base_ventes[[#This Row],[Montant Acheté]]</f>
        <v>23.519999999999982</v>
      </c>
    </row>
    <row r="389" spans="1:17" x14ac:dyDescent="0.3">
      <c r="A389" s="1">
        <v>44735</v>
      </c>
      <c r="B389">
        <f>YEAR(Base_ventes[[#This Row],[DATE]])</f>
        <v>2022</v>
      </c>
      <c r="C389">
        <f>MONTH(Base_ventes[[#This Row],[DATE]])</f>
        <v>6</v>
      </c>
      <c r="D38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389" t="s">
        <v>9</v>
      </c>
      <c r="F389">
        <v>8</v>
      </c>
      <c r="G389" t="s">
        <v>87</v>
      </c>
      <c r="H389" t="s">
        <v>82</v>
      </c>
      <c r="I389">
        <v>71</v>
      </c>
      <c r="J389" t="s">
        <v>10</v>
      </c>
      <c r="K389" t="s">
        <v>3</v>
      </c>
      <c r="L389" t="s">
        <v>11</v>
      </c>
      <c r="M389">
        <v>44</v>
      </c>
      <c r="N389">
        <v>48.84</v>
      </c>
      <c r="O389">
        <f>Base_ventes[[#This Row],[BD_2.SELLING PRICE]]*Base_ventes[[#This Row],[QUANTITY]]</f>
        <v>390.72</v>
      </c>
      <c r="P389">
        <f>Base_ventes[[#This Row],[BD_2.BUYING PRIZE]]*Base_ventes[[#This Row],[QUANTITY]]</f>
        <v>352</v>
      </c>
      <c r="Q389">
        <f>Base_ventes[[#This Row],[Montant Vendu]]-Base_ventes[[#This Row],[Montant Acheté]]</f>
        <v>38.720000000000027</v>
      </c>
    </row>
    <row r="390" spans="1:17" x14ac:dyDescent="0.3">
      <c r="A390" s="1">
        <v>44736</v>
      </c>
      <c r="B390">
        <f>YEAR(Base_ventes[[#This Row],[DATE]])</f>
        <v>2022</v>
      </c>
      <c r="C390">
        <f>MONTH(Base_ventes[[#This Row],[DATE]])</f>
        <v>6</v>
      </c>
      <c r="D39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390" t="s">
        <v>41</v>
      </c>
      <c r="F390">
        <v>7</v>
      </c>
      <c r="G390" t="s">
        <v>87</v>
      </c>
      <c r="H390" t="s">
        <v>84</v>
      </c>
      <c r="I390">
        <v>36</v>
      </c>
      <c r="J390" t="s">
        <v>42</v>
      </c>
      <c r="K390" t="s">
        <v>26</v>
      </c>
      <c r="L390" t="s">
        <v>23</v>
      </c>
      <c r="M390">
        <v>37</v>
      </c>
      <c r="N390">
        <v>49.21</v>
      </c>
      <c r="O390">
        <f>Base_ventes[[#This Row],[BD_2.SELLING PRICE]]*Base_ventes[[#This Row],[QUANTITY]]</f>
        <v>344.47</v>
      </c>
      <c r="P390">
        <f>Base_ventes[[#This Row],[BD_2.BUYING PRIZE]]*Base_ventes[[#This Row],[QUANTITY]]</f>
        <v>259</v>
      </c>
      <c r="Q390">
        <f>Base_ventes[[#This Row],[Montant Vendu]]-Base_ventes[[#This Row],[Montant Acheté]]</f>
        <v>85.470000000000027</v>
      </c>
    </row>
    <row r="391" spans="1:17" x14ac:dyDescent="0.3">
      <c r="A391" s="1">
        <v>44737</v>
      </c>
      <c r="B391">
        <f>YEAR(Base_ventes[[#This Row],[DATE]])</f>
        <v>2022</v>
      </c>
      <c r="C391">
        <f>MONTH(Base_ventes[[#This Row],[DATE]])</f>
        <v>6</v>
      </c>
      <c r="D39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391" t="s">
        <v>29</v>
      </c>
      <c r="F391">
        <v>7</v>
      </c>
      <c r="G391" t="s">
        <v>82</v>
      </c>
      <c r="H391" t="s">
        <v>82</v>
      </c>
      <c r="I391">
        <v>18</v>
      </c>
      <c r="J391" t="s">
        <v>30</v>
      </c>
      <c r="K391" t="s">
        <v>26</v>
      </c>
      <c r="L391" t="s">
        <v>4</v>
      </c>
      <c r="M391">
        <v>73</v>
      </c>
      <c r="N391">
        <v>94.17</v>
      </c>
      <c r="O391">
        <f>Base_ventes[[#This Row],[BD_2.SELLING PRICE]]*Base_ventes[[#This Row],[QUANTITY]]</f>
        <v>659.19</v>
      </c>
      <c r="P391">
        <f>Base_ventes[[#This Row],[BD_2.BUYING PRIZE]]*Base_ventes[[#This Row],[QUANTITY]]</f>
        <v>511</v>
      </c>
      <c r="Q391">
        <f>Base_ventes[[#This Row],[Montant Vendu]]-Base_ventes[[#This Row],[Montant Acheté]]</f>
        <v>148.19000000000005</v>
      </c>
    </row>
    <row r="392" spans="1:17" x14ac:dyDescent="0.3">
      <c r="A392" s="1">
        <v>44738</v>
      </c>
      <c r="B392">
        <f>YEAR(Base_ventes[[#This Row],[DATE]])</f>
        <v>2022</v>
      </c>
      <c r="C392">
        <f>MONTH(Base_ventes[[#This Row],[DATE]])</f>
        <v>6</v>
      </c>
      <c r="D39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392" t="s">
        <v>94</v>
      </c>
      <c r="F392">
        <v>4</v>
      </c>
      <c r="G392" t="s">
        <v>87</v>
      </c>
      <c r="H392" t="s">
        <v>84</v>
      </c>
      <c r="I392">
        <v>5</v>
      </c>
      <c r="J392" t="s">
        <v>95</v>
      </c>
      <c r="K392" t="s">
        <v>60</v>
      </c>
      <c r="L392" t="s">
        <v>11</v>
      </c>
      <c r="M392">
        <v>55</v>
      </c>
      <c r="N392">
        <v>58.3</v>
      </c>
      <c r="O392">
        <f>Base_ventes[[#This Row],[BD_2.SELLING PRICE]]*Base_ventes[[#This Row],[QUANTITY]]</f>
        <v>233.2</v>
      </c>
      <c r="P392">
        <f>Base_ventes[[#This Row],[BD_2.BUYING PRIZE]]*Base_ventes[[#This Row],[QUANTITY]]</f>
        <v>220</v>
      </c>
      <c r="Q392">
        <f>Base_ventes[[#This Row],[Montant Vendu]]-Base_ventes[[#This Row],[Montant Acheté]]</f>
        <v>13.199999999999989</v>
      </c>
    </row>
    <row r="393" spans="1:17" x14ac:dyDescent="0.3">
      <c r="A393" s="1">
        <v>44738</v>
      </c>
      <c r="B393">
        <f>YEAR(Base_ventes[[#This Row],[DATE]])</f>
        <v>2022</v>
      </c>
      <c r="C393">
        <f>MONTH(Base_ventes[[#This Row],[DATE]])</f>
        <v>6</v>
      </c>
      <c r="D39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Juin</v>
      </c>
      <c r="E393" t="s">
        <v>108</v>
      </c>
      <c r="F393">
        <v>12</v>
      </c>
      <c r="G393" t="s">
        <v>87</v>
      </c>
      <c r="H393" t="s">
        <v>82</v>
      </c>
      <c r="I393">
        <v>4</v>
      </c>
      <c r="J393" t="s">
        <v>109</v>
      </c>
      <c r="K393" t="s">
        <v>86</v>
      </c>
      <c r="L393" t="s">
        <v>4</v>
      </c>
      <c r="M393">
        <v>67</v>
      </c>
      <c r="N393">
        <v>83.08</v>
      </c>
      <c r="O393">
        <f>Base_ventes[[#This Row],[BD_2.SELLING PRICE]]*Base_ventes[[#This Row],[QUANTITY]]</f>
        <v>996.96</v>
      </c>
      <c r="P393">
        <f>Base_ventes[[#This Row],[BD_2.BUYING PRIZE]]*Base_ventes[[#This Row],[QUANTITY]]</f>
        <v>804</v>
      </c>
      <c r="Q393">
        <f>Base_ventes[[#This Row],[Montant Vendu]]-Base_ventes[[#This Row],[Montant Acheté]]</f>
        <v>192.96000000000004</v>
      </c>
    </row>
    <row r="394" spans="1:17" x14ac:dyDescent="0.3">
      <c r="A394" s="1">
        <v>44745</v>
      </c>
      <c r="B394">
        <f>YEAR(Base_ventes[[#This Row],[DATE]])</f>
        <v>2022</v>
      </c>
      <c r="C394">
        <f>MONTH(Base_ventes[[#This Row],[DATE]])</f>
        <v>7</v>
      </c>
      <c r="D39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394" t="s">
        <v>92</v>
      </c>
      <c r="F394">
        <v>15</v>
      </c>
      <c r="G394" t="s">
        <v>87</v>
      </c>
      <c r="H394" t="s">
        <v>84</v>
      </c>
      <c r="I394">
        <v>80</v>
      </c>
      <c r="J394" t="s">
        <v>93</v>
      </c>
      <c r="K394" t="s">
        <v>60</v>
      </c>
      <c r="L394" t="s">
        <v>4</v>
      </c>
      <c r="M394">
        <v>95</v>
      </c>
      <c r="N394">
        <v>119.7</v>
      </c>
      <c r="O394">
        <f>Base_ventes[[#This Row],[BD_2.SELLING PRICE]]*Base_ventes[[#This Row],[QUANTITY]]</f>
        <v>1795.5</v>
      </c>
      <c r="P394">
        <f>Base_ventes[[#This Row],[BD_2.BUYING PRIZE]]*Base_ventes[[#This Row],[QUANTITY]]</f>
        <v>1425</v>
      </c>
      <c r="Q394">
        <f>Base_ventes[[#This Row],[Montant Vendu]]-Base_ventes[[#This Row],[Montant Acheté]]</f>
        <v>370.5</v>
      </c>
    </row>
    <row r="395" spans="1:17" x14ac:dyDescent="0.3">
      <c r="A395" s="1">
        <v>44746</v>
      </c>
      <c r="B395">
        <f>YEAR(Base_ventes[[#This Row],[DATE]])</f>
        <v>2022</v>
      </c>
      <c r="C395">
        <f>MONTH(Base_ventes[[#This Row],[DATE]])</f>
        <v>7</v>
      </c>
      <c r="D39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395" t="s">
        <v>17</v>
      </c>
      <c r="F395">
        <v>7</v>
      </c>
      <c r="G395" t="s">
        <v>87</v>
      </c>
      <c r="H395" t="s">
        <v>82</v>
      </c>
      <c r="I395">
        <v>65</v>
      </c>
      <c r="J395" t="s">
        <v>18</v>
      </c>
      <c r="K395" t="s">
        <v>3</v>
      </c>
      <c r="L395" t="s">
        <v>11</v>
      </c>
      <c r="M395">
        <v>43</v>
      </c>
      <c r="N395">
        <v>47.730000000000004</v>
      </c>
      <c r="O395">
        <f>Base_ventes[[#This Row],[BD_2.SELLING PRICE]]*Base_ventes[[#This Row],[QUANTITY]]</f>
        <v>334.11</v>
      </c>
      <c r="P395">
        <f>Base_ventes[[#This Row],[BD_2.BUYING PRIZE]]*Base_ventes[[#This Row],[QUANTITY]]</f>
        <v>301</v>
      </c>
      <c r="Q395">
        <f>Base_ventes[[#This Row],[Montant Vendu]]-Base_ventes[[#This Row],[Montant Acheté]]</f>
        <v>33.110000000000014</v>
      </c>
    </row>
    <row r="396" spans="1:17" x14ac:dyDescent="0.3">
      <c r="A396" s="1">
        <v>44747</v>
      </c>
      <c r="B396">
        <f>YEAR(Base_ventes[[#This Row],[DATE]])</f>
        <v>2022</v>
      </c>
      <c r="C396">
        <f>MONTH(Base_ventes[[#This Row],[DATE]])</f>
        <v>7</v>
      </c>
      <c r="D39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396" t="s">
        <v>56</v>
      </c>
      <c r="F396">
        <v>7</v>
      </c>
      <c r="G396" t="s">
        <v>82</v>
      </c>
      <c r="H396" t="s">
        <v>84</v>
      </c>
      <c r="I396">
        <v>21</v>
      </c>
      <c r="J396" t="s">
        <v>57</v>
      </c>
      <c r="K396" t="s">
        <v>47</v>
      </c>
      <c r="L396" t="s">
        <v>23</v>
      </c>
      <c r="M396">
        <v>7</v>
      </c>
      <c r="N396">
        <v>8.33</v>
      </c>
      <c r="O396">
        <f>Base_ventes[[#This Row],[BD_2.SELLING PRICE]]*Base_ventes[[#This Row],[QUANTITY]]</f>
        <v>58.31</v>
      </c>
      <c r="P396">
        <f>Base_ventes[[#This Row],[BD_2.BUYING PRIZE]]*Base_ventes[[#This Row],[QUANTITY]]</f>
        <v>49</v>
      </c>
      <c r="Q396">
        <f>Base_ventes[[#This Row],[Montant Vendu]]-Base_ventes[[#This Row],[Montant Acheté]]</f>
        <v>9.3100000000000023</v>
      </c>
    </row>
    <row r="397" spans="1:17" x14ac:dyDescent="0.3">
      <c r="A397" s="1">
        <v>44747</v>
      </c>
      <c r="B397">
        <f>YEAR(Base_ventes[[#This Row],[DATE]])</f>
        <v>2022</v>
      </c>
      <c r="C397">
        <f>MONTH(Base_ventes[[#This Row],[DATE]])</f>
        <v>7</v>
      </c>
      <c r="D39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397" t="s">
        <v>35</v>
      </c>
      <c r="F397">
        <v>8</v>
      </c>
      <c r="G397" t="s">
        <v>87</v>
      </c>
      <c r="H397" t="s">
        <v>82</v>
      </c>
      <c r="I397">
        <v>38</v>
      </c>
      <c r="J397" t="s">
        <v>36</v>
      </c>
      <c r="K397" t="s">
        <v>26</v>
      </c>
      <c r="L397" t="s">
        <v>23</v>
      </c>
      <c r="M397">
        <v>12</v>
      </c>
      <c r="N397">
        <v>15.719999999999999</v>
      </c>
      <c r="O397">
        <f>Base_ventes[[#This Row],[BD_2.SELLING PRICE]]*Base_ventes[[#This Row],[QUANTITY]]</f>
        <v>125.75999999999999</v>
      </c>
      <c r="P397">
        <f>Base_ventes[[#This Row],[BD_2.BUYING PRIZE]]*Base_ventes[[#This Row],[QUANTITY]]</f>
        <v>96</v>
      </c>
      <c r="Q397">
        <f>Base_ventes[[#This Row],[Montant Vendu]]-Base_ventes[[#This Row],[Montant Acheté]]</f>
        <v>29.759999999999991</v>
      </c>
    </row>
    <row r="398" spans="1:17" x14ac:dyDescent="0.3">
      <c r="A398" s="1">
        <v>44748</v>
      </c>
      <c r="B398">
        <f>YEAR(Base_ventes[[#This Row],[DATE]])</f>
        <v>2022</v>
      </c>
      <c r="C398">
        <f>MONTH(Base_ventes[[#This Row],[DATE]])</f>
        <v>7</v>
      </c>
      <c r="D39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398" t="s">
        <v>104</v>
      </c>
      <c r="F398">
        <v>2</v>
      </c>
      <c r="G398" t="s">
        <v>87</v>
      </c>
      <c r="H398" t="s">
        <v>84</v>
      </c>
      <c r="I398">
        <v>25</v>
      </c>
      <c r="J398" t="s">
        <v>105</v>
      </c>
      <c r="K398" t="s">
        <v>86</v>
      </c>
      <c r="L398" t="s">
        <v>14</v>
      </c>
      <c r="M398">
        <v>138</v>
      </c>
      <c r="N398">
        <v>173.88</v>
      </c>
      <c r="O398">
        <f>Base_ventes[[#This Row],[BD_2.SELLING PRICE]]*Base_ventes[[#This Row],[QUANTITY]]</f>
        <v>347.76</v>
      </c>
      <c r="P398">
        <f>Base_ventes[[#This Row],[BD_2.BUYING PRIZE]]*Base_ventes[[#This Row],[QUANTITY]]</f>
        <v>276</v>
      </c>
      <c r="Q398">
        <f>Base_ventes[[#This Row],[Montant Vendu]]-Base_ventes[[#This Row],[Montant Acheté]]</f>
        <v>71.759999999999991</v>
      </c>
    </row>
    <row r="399" spans="1:17" x14ac:dyDescent="0.3">
      <c r="A399" s="1">
        <v>44750</v>
      </c>
      <c r="B399">
        <f>YEAR(Base_ventes[[#This Row],[DATE]])</f>
        <v>2022</v>
      </c>
      <c r="C399">
        <f>MONTH(Base_ventes[[#This Row],[DATE]])</f>
        <v>7</v>
      </c>
      <c r="D39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399" t="s">
        <v>41</v>
      </c>
      <c r="F399">
        <v>2</v>
      </c>
      <c r="G399" t="s">
        <v>87</v>
      </c>
      <c r="H399" t="s">
        <v>82</v>
      </c>
      <c r="I399">
        <v>34</v>
      </c>
      <c r="J399" t="s">
        <v>42</v>
      </c>
      <c r="K399" t="s">
        <v>26</v>
      </c>
      <c r="L399" t="s">
        <v>23</v>
      </c>
      <c r="M399">
        <v>37</v>
      </c>
      <c r="N399">
        <v>49.21</v>
      </c>
      <c r="O399">
        <f>Base_ventes[[#This Row],[BD_2.SELLING PRICE]]*Base_ventes[[#This Row],[QUANTITY]]</f>
        <v>98.42</v>
      </c>
      <c r="P399">
        <f>Base_ventes[[#This Row],[BD_2.BUYING PRIZE]]*Base_ventes[[#This Row],[QUANTITY]]</f>
        <v>74</v>
      </c>
      <c r="Q399">
        <f>Base_ventes[[#This Row],[Montant Vendu]]-Base_ventes[[#This Row],[Montant Acheté]]</f>
        <v>24.42</v>
      </c>
    </row>
    <row r="400" spans="1:17" x14ac:dyDescent="0.3">
      <c r="A400" s="1">
        <v>44752</v>
      </c>
      <c r="B400">
        <f>YEAR(Base_ventes[[#This Row],[DATE]])</f>
        <v>2022</v>
      </c>
      <c r="C400">
        <f>MONTH(Base_ventes[[#This Row],[DATE]])</f>
        <v>7</v>
      </c>
      <c r="D40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400" t="s">
        <v>90</v>
      </c>
      <c r="F400">
        <v>12</v>
      </c>
      <c r="G400" t="s">
        <v>82</v>
      </c>
      <c r="H400" t="s">
        <v>84</v>
      </c>
      <c r="I400">
        <v>70</v>
      </c>
      <c r="J400" t="s">
        <v>91</v>
      </c>
      <c r="K400" t="s">
        <v>60</v>
      </c>
      <c r="L400" t="s">
        <v>4</v>
      </c>
      <c r="M400">
        <v>89</v>
      </c>
      <c r="N400">
        <v>117.48</v>
      </c>
      <c r="O400">
        <f>Base_ventes[[#This Row],[BD_2.SELLING PRICE]]*Base_ventes[[#This Row],[QUANTITY]]</f>
        <v>1409.76</v>
      </c>
      <c r="P400">
        <f>Base_ventes[[#This Row],[BD_2.BUYING PRIZE]]*Base_ventes[[#This Row],[QUANTITY]]</f>
        <v>1068</v>
      </c>
      <c r="Q400">
        <f>Base_ventes[[#This Row],[Montant Vendu]]-Base_ventes[[#This Row],[Montant Acheté]]</f>
        <v>341.76</v>
      </c>
    </row>
    <row r="401" spans="1:17" x14ac:dyDescent="0.3">
      <c r="A401" s="1">
        <v>44754</v>
      </c>
      <c r="B401">
        <f>YEAR(Base_ventes[[#This Row],[DATE]])</f>
        <v>2022</v>
      </c>
      <c r="C401">
        <f>MONTH(Base_ventes[[#This Row],[DATE]])</f>
        <v>7</v>
      </c>
      <c r="D40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401" t="s">
        <v>63</v>
      </c>
      <c r="F401">
        <v>12</v>
      </c>
      <c r="G401" t="s">
        <v>87</v>
      </c>
      <c r="H401" t="s">
        <v>84</v>
      </c>
      <c r="I401">
        <v>28</v>
      </c>
      <c r="J401" t="s">
        <v>64</v>
      </c>
      <c r="K401" t="s">
        <v>60</v>
      </c>
      <c r="L401" t="s">
        <v>23</v>
      </c>
      <c r="M401">
        <v>37</v>
      </c>
      <c r="N401">
        <v>41.81</v>
      </c>
      <c r="O401">
        <f>Base_ventes[[#This Row],[BD_2.SELLING PRICE]]*Base_ventes[[#This Row],[QUANTITY]]</f>
        <v>501.72</v>
      </c>
      <c r="P401">
        <f>Base_ventes[[#This Row],[BD_2.BUYING PRIZE]]*Base_ventes[[#This Row],[QUANTITY]]</f>
        <v>444</v>
      </c>
      <c r="Q401">
        <f>Base_ventes[[#This Row],[Montant Vendu]]-Base_ventes[[#This Row],[Montant Acheté]]</f>
        <v>57.720000000000027</v>
      </c>
    </row>
    <row r="402" spans="1:17" x14ac:dyDescent="0.3">
      <c r="A402" s="1">
        <v>44755</v>
      </c>
      <c r="B402">
        <f>YEAR(Base_ventes[[#This Row],[DATE]])</f>
        <v>2022</v>
      </c>
      <c r="C402">
        <f>MONTH(Base_ventes[[#This Row],[DATE]])</f>
        <v>7</v>
      </c>
      <c r="D40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402" t="s">
        <v>56</v>
      </c>
      <c r="F402">
        <v>7</v>
      </c>
      <c r="G402" t="s">
        <v>87</v>
      </c>
      <c r="H402" t="s">
        <v>82</v>
      </c>
      <c r="I402">
        <v>27</v>
      </c>
      <c r="J402" t="s">
        <v>57</v>
      </c>
      <c r="K402" t="s">
        <v>47</v>
      </c>
      <c r="L402" t="s">
        <v>23</v>
      </c>
      <c r="M402">
        <v>7</v>
      </c>
      <c r="N402">
        <v>8.33</v>
      </c>
      <c r="O402">
        <f>Base_ventes[[#This Row],[BD_2.SELLING PRICE]]*Base_ventes[[#This Row],[QUANTITY]]</f>
        <v>58.31</v>
      </c>
      <c r="P402">
        <f>Base_ventes[[#This Row],[BD_2.BUYING PRIZE]]*Base_ventes[[#This Row],[QUANTITY]]</f>
        <v>49</v>
      </c>
      <c r="Q402">
        <f>Base_ventes[[#This Row],[Montant Vendu]]-Base_ventes[[#This Row],[Montant Acheté]]</f>
        <v>9.3100000000000023</v>
      </c>
    </row>
    <row r="403" spans="1:17" x14ac:dyDescent="0.3">
      <c r="A403" s="1">
        <v>44756</v>
      </c>
      <c r="B403">
        <f>YEAR(Base_ventes[[#This Row],[DATE]])</f>
        <v>2022</v>
      </c>
      <c r="C403">
        <f>MONTH(Base_ventes[[#This Row],[DATE]])</f>
        <v>7</v>
      </c>
      <c r="D40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403" t="s">
        <v>92</v>
      </c>
      <c r="F403">
        <v>9</v>
      </c>
      <c r="G403" t="s">
        <v>87</v>
      </c>
      <c r="H403" t="s">
        <v>82</v>
      </c>
      <c r="I403">
        <v>4</v>
      </c>
      <c r="J403" t="s">
        <v>93</v>
      </c>
      <c r="K403" t="s">
        <v>60</v>
      </c>
      <c r="L403" t="s">
        <v>4</v>
      </c>
      <c r="M403">
        <v>95</v>
      </c>
      <c r="N403">
        <v>119.7</v>
      </c>
      <c r="O403">
        <f>Base_ventes[[#This Row],[BD_2.SELLING PRICE]]*Base_ventes[[#This Row],[QUANTITY]]</f>
        <v>1077.3</v>
      </c>
      <c r="P403">
        <f>Base_ventes[[#This Row],[BD_2.BUYING PRIZE]]*Base_ventes[[#This Row],[QUANTITY]]</f>
        <v>855</v>
      </c>
      <c r="Q403">
        <f>Base_ventes[[#This Row],[Montant Vendu]]-Base_ventes[[#This Row],[Montant Acheté]]</f>
        <v>222.29999999999995</v>
      </c>
    </row>
    <row r="404" spans="1:17" x14ac:dyDescent="0.3">
      <c r="A404" s="1">
        <v>44757</v>
      </c>
      <c r="B404">
        <f>YEAR(Base_ventes[[#This Row],[DATE]])</f>
        <v>2022</v>
      </c>
      <c r="C404">
        <f>MONTH(Base_ventes[[#This Row],[DATE]])</f>
        <v>7</v>
      </c>
      <c r="D40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404" t="s">
        <v>9</v>
      </c>
      <c r="F404">
        <v>2</v>
      </c>
      <c r="G404" t="s">
        <v>82</v>
      </c>
      <c r="H404" t="s">
        <v>82</v>
      </c>
      <c r="I404">
        <v>70</v>
      </c>
      <c r="J404" t="s">
        <v>10</v>
      </c>
      <c r="K404" t="s">
        <v>3</v>
      </c>
      <c r="L404" t="s">
        <v>11</v>
      </c>
      <c r="M404">
        <v>44</v>
      </c>
      <c r="N404">
        <v>48.84</v>
      </c>
      <c r="O404">
        <f>Base_ventes[[#This Row],[BD_2.SELLING PRICE]]*Base_ventes[[#This Row],[QUANTITY]]</f>
        <v>97.68</v>
      </c>
      <c r="P404">
        <f>Base_ventes[[#This Row],[BD_2.BUYING PRIZE]]*Base_ventes[[#This Row],[QUANTITY]]</f>
        <v>88</v>
      </c>
      <c r="Q404">
        <f>Base_ventes[[#This Row],[Montant Vendu]]-Base_ventes[[#This Row],[Montant Acheté]]</f>
        <v>9.6800000000000068</v>
      </c>
    </row>
    <row r="405" spans="1:17" x14ac:dyDescent="0.3">
      <c r="A405" s="1">
        <v>44759</v>
      </c>
      <c r="B405">
        <f>YEAR(Base_ventes[[#This Row],[DATE]])</f>
        <v>2022</v>
      </c>
      <c r="C405">
        <f>MONTH(Base_ventes[[#This Row],[DATE]])</f>
        <v>7</v>
      </c>
      <c r="D40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405" t="s">
        <v>104</v>
      </c>
      <c r="F405">
        <v>8</v>
      </c>
      <c r="G405" t="s">
        <v>82</v>
      </c>
      <c r="H405" t="s">
        <v>84</v>
      </c>
      <c r="I405">
        <v>34</v>
      </c>
      <c r="J405" t="s">
        <v>105</v>
      </c>
      <c r="K405" t="s">
        <v>86</v>
      </c>
      <c r="L405" t="s">
        <v>14</v>
      </c>
      <c r="M405">
        <v>138</v>
      </c>
      <c r="N405">
        <v>173.88</v>
      </c>
      <c r="O405">
        <f>Base_ventes[[#This Row],[BD_2.SELLING PRICE]]*Base_ventes[[#This Row],[QUANTITY]]</f>
        <v>1391.04</v>
      </c>
      <c r="P405">
        <f>Base_ventes[[#This Row],[BD_2.BUYING PRIZE]]*Base_ventes[[#This Row],[QUANTITY]]</f>
        <v>1104</v>
      </c>
      <c r="Q405">
        <f>Base_ventes[[#This Row],[Montant Vendu]]-Base_ventes[[#This Row],[Montant Acheté]]</f>
        <v>287.03999999999996</v>
      </c>
    </row>
    <row r="406" spans="1:17" x14ac:dyDescent="0.3">
      <c r="A406" s="1">
        <v>44760</v>
      </c>
      <c r="B406">
        <f>YEAR(Base_ventes[[#This Row],[DATE]])</f>
        <v>2022</v>
      </c>
      <c r="C406">
        <f>MONTH(Base_ventes[[#This Row],[DATE]])</f>
        <v>7</v>
      </c>
      <c r="D40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406" t="s">
        <v>24</v>
      </c>
      <c r="F406">
        <v>12</v>
      </c>
      <c r="G406" t="s">
        <v>87</v>
      </c>
      <c r="H406" t="s">
        <v>82</v>
      </c>
      <c r="I406">
        <v>77</v>
      </c>
      <c r="J406" t="s">
        <v>25</v>
      </c>
      <c r="K406" t="s">
        <v>26</v>
      </c>
      <c r="L406" t="s">
        <v>14</v>
      </c>
      <c r="M406">
        <v>148</v>
      </c>
      <c r="N406">
        <v>164.28</v>
      </c>
      <c r="O406">
        <f>Base_ventes[[#This Row],[BD_2.SELLING PRICE]]*Base_ventes[[#This Row],[QUANTITY]]</f>
        <v>1971.3600000000001</v>
      </c>
      <c r="P406">
        <f>Base_ventes[[#This Row],[BD_2.BUYING PRIZE]]*Base_ventes[[#This Row],[QUANTITY]]</f>
        <v>1776</v>
      </c>
      <c r="Q406">
        <f>Base_ventes[[#This Row],[Montant Vendu]]-Base_ventes[[#This Row],[Montant Acheté]]</f>
        <v>195.36000000000013</v>
      </c>
    </row>
    <row r="407" spans="1:17" x14ac:dyDescent="0.3">
      <c r="A407" s="1">
        <v>44762</v>
      </c>
      <c r="B407">
        <f>YEAR(Base_ventes[[#This Row],[DATE]])</f>
        <v>2022</v>
      </c>
      <c r="C407">
        <f>MONTH(Base_ventes[[#This Row],[DATE]])</f>
        <v>7</v>
      </c>
      <c r="D40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407" t="s">
        <v>106</v>
      </c>
      <c r="F407">
        <v>8</v>
      </c>
      <c r="G407" t="s">
        <v>81</v>
      </c>
      <c r="H407" t="s">
        <v>82</v>
      </c>
      <c r="I407">
        <v>64</v>
      </c>
      <c r="J407" t="s">
        <v>107</v>
      </c>
      <c r="K407" t="s">
        <v>86</v>
      </c>
      <c r="L407" t="s">
        <v>14</v>
      </c>
      <c r="M407">
        <v>120</v>
      </c>
      <c r="N407">
        <v>162</v>
      </c>
      <c r="O407">
        <f>Base_ventes[[#This Row],[BD_2.SELLING PRICE]]*Base_ventes[[#This Row],[QUANTITY]]</f>
        <v>1296</v>
      </c>
      <c r="P407">
        <f>Base_ventes[[#This Row],[BD_2.BUYING PRIZE]]*Base_ventes[[#This Row],[QUANTITY]]</f>
        <v>960</v>
      </c>
      <c r="Q407">
        <f>Base_ventes[[#This Row],[Montant Vendu]]-Base_ventes[[#This Row],[Montant Acheté]]</f>
        <v>336</v>
      </c>
    </row>
    <row r="408" spans="1:17" x14ac:dyDescent="0.3">
      <c r="A408" s="1">
        <v>44764</v>
      </c>
      <c r="B408">
        <f>YEAR(Base_ventes[[#This Row],[DATE]])</f>
        <v>2022</v>
      </c>
      <c r="C408">
        <f>MONTH(Base_ventes[[#This Row],[DATE]])</f>
        <v>7</v>
      </c>
      <c r="D40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408" t="s">
        <v>94</v>
      </c>
      <c r="F408">
        <v>6</v>
      </c>
      <c r="G408" t="s">
        <v>87</v>
      </c>
      <c r="H408" t="s">
        <v>84</v>
      </c>
      <c r="I408">
        <v>59</v>
      </c>
      <c r="J408" t="s">
        <v>95</v>
      </c>
      <c r="K408" t="s">
        <v>60</v>
      </c>
      <c r="L408" t="s">
        <v>11</v>
      </c>
      <c r="M408">
        <v>55</v>
      </c>
      <c r="N408">
        <v>58.3</v>
      </c>
      <c r="O408">
        <f>Base_ventes[[#This Row],[BD_2.SELLING PRICE]]*Base_ventes[[#This Row],[QUANTITY]]</f>
        <v>349.79999999999995</v>
      </c>
      <c r="P408">
        <f>Base_ventes[[#This Row],[BD_2.BUYING PRIZE]]*Base_ventes[[#This Row],[QUANTITY]]</f>
        <v>330</v>
      </c>
      <c r="Q408">
        <f>Base_ventes[[#This Row],[Montant Vendu]]-Base_ventes[[#This Row],[Montant Acheté]]</f>
        <v>19.799999999999955</v>
      </c>
    </row>
    <row r="409" spans="1:17" x14ac:dyDescent="0.3">
      <c r="A409" s="1">
        <v>44765</v>
      </c>
      <c r="B409">
        <f>YEAR(Base_ventes[[#This Row],[DATE]])</f>
        <v>2022</v>
      </c>
      <c r="C409">
        <f>MONTH(Base_ventes[[#This Row],[DATE]])</f>
        <v>7</v>
      </c>
      <c r="D40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409" t="s">
        <v>41</v>
      </c>
      <c r="F409">
        <v>2</v>
      </c>
      <c r="G409" t="s">
        <v>82</v>
      </c>
      <c r="H409" t="s">
        <v>82</v>
      </c>
      <c r="I409">
        <v>80</v>
      </c>
      <c r="J409" t="s">
        <v>42</v>
      </c>
      <c r="K409" t="s">
        <v>26</v>
      </c>
      <c r="L409" t="s">
        <v>23</v>
      </c>
      <c r="M409">
        <v>37</v>
      </c>
      <c r="N409">
        <v>49.21</v>
      </c>
      <c r="O409">
        <f>Base_ventes[[#This Row],[BD_2.SELLING PRICE]]*Base_ventes[[#This Row],[QUANTITY]]</f>
        <v>98.42</v>
      </c>
      <c r="P409">
        <f>Base_ventes[[#This Row],[BD_2.BUYING PRIZE]]*Base_ventes[[#This Row],[QUANTITY]]</f>
        <v>74</v>
      </c>
      <c r="Q409">
        <f>Base_ventes[[#This Row],[Montant Vendu]]-Base_ventes[[#This Row],[Montant Acheté]]</f>
        <v>24.42</v>
      </c>
    </row>
    <row r="410" spans="1:17" x14ac:dyDescent="0.3">
      <c r="A410" s="1">
        <v>44766</v>
      </c>
      <c r="B410">
        <f>YEAR(Base_ventes[[#This Row],[DATE]])</f>
        <v>2022</v>
      </c>
      <c r="C410">
        <f>MONTH(Base_ventes[[#This Row],[DATE]])</f>
        <v>7</v>
      </c>
      <c r="D41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410" t="s">
        <v>15</v>
      </c>
      <c r="F410">
        <v>14</v>
      </c>
      <c r="G410" t="s">
        <v>87</v>
      </c>
      <c r="H410" t="s">
        <v>84</v>
      </c>
      <c r="I410">
        <v>87</v>
      </c>
      <c r="J410" t="s">
        <v>16</v>
      </c>
      <c r="K410" t="s">
        <v>3</v>
      </c>
      <c r="L410" t="s">
        <v>4</v>
      </c>
      <c r="M410">
        <v>75</v>
      </c>
      <c r="N410">
        <v>85.5</v>
      </c>
      <c r="O410">
        <f>Base_ventes[[#This Row],[BD_2.SELLING PRICE]]*Base_ventes[[#This Row],[QUANTITY]]</f>
        <v>1197</v>
      </c>
      <c r="P410">
        <f>Base_ventes[[#This Row],[BD_2.BUYING PRIZE]]*Base_ventes[[#This Row],[QUANTITY]]</f>
        <v>1050</v>
      </c>
      <c r="Q410">
        <f>Base_ventes[[#This Row],[Montant Vendu]]-Base_ventes[[#This Row],[Montant Acheté]]</f>
        <v>147</v>
      </c>
    </row>
    <row r="411" spans="1:17" x14ac:dyDescent="0.3">
      <c r="A411" s="1">
        <v>44766</v>
      </c>
      <c r="B411">
        <f>YEAR(Base_ventes[[#This Row],[DATE]])</f>
        <v>2022</v>
      </c>
      <c r="C411">
        <f>MONTH(Base_ventes[[#This Row],[DATE]])</f>
        <v>7</v>
      </c>
      <c r="D41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411" t="s">
        <v>61</v>
      </c>
      <c r="F411">
        <v>1</v>
      </c>
      <c r="G411" t="s">
        <v>82</v>
      </c>
      <c r="H411" t="s">
        <v>82</v>
      </c>
      <c r="I411">
        <v>77</v>
      </c>
      <c r="J411" t="s">
        <v>62</v>
      </c>
      <c r="K411" t="s">
        <v>60</v>
      </c>
      <c r="L411" t="s">
        <v>11</v>
      </c>
      <c r="M411">
        <v>48</v>
      </c>
      <c r="N411">
        <v>57.120000000000005</v>
      </c>
      <c r="O411">
        <f>Base_ventes[[#This Row],[BD_2.SELLING PRICE]]*Base_ventes[[#This Row],[QUANTITY]]</f>
        <v>57.120000000000005</v>
      </c>
      <c r="P411">
        <f>Base_ventes[[#This Row],[BD_2.BUYING PRIZE]]*Base_ventes[[#This Row],[QUANTITY]]</f>
        <v>48</v>
      </c>
      <c r="Q411">
        <f>Base_ventes[[#This Row],[Montant Vendu]]-Base_ventes[[#This Row],[Montant Acheté]]</f>
        <v>9.1200000000000045</v>
      </c>
    </row>
    <row r="412" spans="1:17" x14ac:dyDescent="0.3">
      <c r="A412" s="1">
        <v>44767</v>
      </c>
      <c r="B412">
        <f>YEAR(Base_ventes[[#This Row],[DATE]])</f>
        <v>2022</v>
      </c>
      <c r="C412">
        <f>MONTH(Base_ventes[[#This Row],[DATE]])</f>
        <v>7</v>
      </c>
      <c r="D41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412" t="s">
        <v>110</v>
      </c>
      <c r="F412">
        <v>2</v>
      </c>
      <c r="G412" t="s">
        <v>87</v>
      </c>
      <c r="H412" t="s">
        <v>84</v>
      </c>
      <c r="I412">
        <v>6</v>
      </c>
      <c r="J412" t="s">
        <v>111</v>
      </c>
      <c r="K412" t="s">
        <v>86</v>
      </c>
      <c r="L412" t="s">
        <v>4</v>
      </c>
      <c r="M412">
        <v>76</v>
      </c>
      <c r="N412">
        <v>82.08</v>
      </c>
      <c r="O412">
        <f>Base_ventes[[#This Row],[BD_2.SELLING PRICE]]*Base_ventes[[#This Row],[QUANTITY]]</f>
        <v>164.16</v>
      </c>
      <c r="P412">
        <f>Base_ventes[[#This Row],[BD_2.BUYING PRIZE]]*Base_ventes[[#This Row],[QUANTITY]]</f>
        <v>152</v>
      </c>
      <c r="Q412">
        <f>Base_ventes[[#This Row],[Montant Vendu]]-Base_ventes[[#This Row],[Montant Acheté]]</f>
        <v>12.159999999999997</v>
      </c>
    </row>
    <row r="413" spans="1:17" x14ac:dyDescent="0.3">
      <c r="A413" s="1">
        <v>44767</v>
      </c>
      <c r="B413">
        <f>YEAR(Base_ventes[[#This Row],[DATE]])</f>
        <v>2022</v>
      </c>
      <c r="C413">
        <f>MONTH(Base_ventes[[#This Row],[DATE]])</f>
        <v>7</v>
      </c>
      <c r="D41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413" t="s">
        <v>39</v>
      </c>
      <c r="F413">
        <v>12</v>
      </c>
      <c r="G413" t="s">
        <v>87</v>
      </c>
      <c r="H413" t="s">
        <v>84</v>
      </c>
      <c r="I413">
        <v>53</v>
      </c>
      <c r="J413" t="s">
        <v>40</v>
      </c>
      <c r="K413" t="s">
        <v>26</v>
      </c>
      <c r="L413" t="s">
        <v>14</v>
      </c>
      <c r="M413">
        <v>134</v>
      </c>
      <c r="N413">
        <v>156.78</v>
      </c>
      <c r="O413">
        <f>Base_ventes[[#This Row],[BD_2.SELLING PRICE]]*Base_ventes[[#This Row],[QUANTITY]]</f>
        <v>1881.3600000000001</v>
      </c>
      <c r="P413">
        <f>Base_ventes[[#This Row],[BD_2.BUYING PRIZE]]*Base_ventes[[#This Row],[QUANTITY]]</f>
        <v>1608</v>
      </c>
      <c r="Q413">
        <f>Base_ventes[[#This Row],[Montant Vendu]]-Base_ventes[[#This Row],[Montant Acheté]]</f>
        <v>273.36000000000013</v>
      </c>
    </row>
    <row r="414" spans="1:17" x14ac:dyDescent="0.3">
      <c r="A414" s="1">
        <v>44767</v>
      </c>
      <c r="B414">
        <f>YEAR(Base_ventes[[#This Row],[DATE]])</f>
        <v>2022</v>
      </c>
      <c r="C414">
        <f>MONTH(Base_ventes[[#This Row],[DATE]])</f>
        <v>7</v>
      </c>
      <c r="D41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414" t="s">
        <v>7</v>
      </c>
      <c r="F414">
        <v>13</v>
      </c>
      <c r="G414" t="s">
        <v>82</v>
      </c>
      <c r="H414" t="s">
        <v>84</v>
      </c>
      <c r="I414">
        <v>76</v>
      </c>
      <c r="J414" t="s">
        <v>8</v>
      </c>
      <c r="K414" t="s">
        <v>3</v>
      </c>
      <c r="L414" t="s">
        <v>4</v>
      </c>
      <c r="M414">
        <v>71</v>
      </c>
      <c r="N414">
        <v>80.94</v>
      </c>
      <c r="O414">
        <f>Base_ventes[[#This Row],[BD_2.SELLING PRICE]]*Base_ventes[[#This Row],[QUANTITY]]</f>
        <v>1052.22</v>
      </c>
      <c r="P414">
        <f>Base_ventes[[#This Row],[BD_2.BUYING PRIZE]]*Base_ventes[[#This Row],[QUANTITY]]</f>
        <v>923</v>
      </c>
      <c r="Q414">
        <f>Base_ventes[[#This Row],[Montant Vendu]]-Base_ventes[[#This Row],[Montant Acheté]]</f>
        <v>129.22000000000003</v>
      </c>
    </row>
    <row r="415" spans="1:17" x14ac:dyDescent="0.3">
      <c r="A415" s="1">
        <v>44768</v>
      </c>
      <c r="B415">
        <f>YEAR(Base_ventes[[#This Row],[DATE]])</f>
        <v>2022</v>
      </c>
      <c r="C415">
        <f>MONTH(Base_ventes[[#This Row],[DATE]])</f>
        <v>7</v>
      </c>
      <c r="D41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415" t="s">
        <v>7</v>
      </c>
      <c r="F415">
        <v>10</v>
      </c>
      <c r="G415" t="s">
        <v>82</v>
      </c>
      <c r="H415" t="s">
        <v>82</v>
      </c>
      <c r="I415">
        <v>66</v>
      </c>
      <c r="J415" t="s">
        <v>8</v>
      </c>
      <c r="K415" t="s">
        <v>3</v>
      </c>
      <c r="L415" t="s">
        <v>4</v>
      </c>
      <c r="M415">
        <v>71</v>
      </c>
      <c r="N415">
        <v>80.94</v>
      </c>
      <c r="O415">
        <f>Base_ventes[[#This Row],[BD_2.SELLING PRICE]]*Base_ventes[[#This Row],[QUANTITY]]</f>
        <v>809.4</v>
      </c>
      <c r="P415">
        <f>Base_ventes[[#This Row],[BD_2.BUYING PRIZE]]*Base_ventes[[#This Row],[QUANTITY]]</f>
        <v>710</v>
      </c>
      <c r="Q415">
        <f>Base_ventes[[#This Row],[Montant Vendu]]-Base_ventes[[#This Row],[Montant Acheté]]</f>
        <v>99.399999999999977</v>
      </c>
    </row>
    <row r="416" spans="1:17" x14ac:dyDescent="0.3">
      <c r="A416" s="1">
        <v>44768</v>
      </c>
      <c r="B416">
        <f>YEAR(Base_ventes[[#This Row],[DATE]])</f>
        <v>2022</v>
      </c>
      <c r="C416">
        <f>MONTH(Base_ventes[[#This Row],[DATE]])</f>
        <v>7</v>
      </c>
      <c r="D41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Juillet</v>
      </c>
      <c r="E416" t="s">
        <v>58</v>
      </c>
      <c r="F416">
        <v>1</v>
      </c>
      <c r="G416" t="s">
        <v>82</v>
      </c>
      <c r="H416" t="s">
        <v>84</v>
      </c>
      <c r="I416">
        <v>72</v>
      </c>
      <c r="J416" t="s">
        <v>59</v>
      </c>
      <c r="K416" t="s">
        <v>60</v>
      </c>
      <c r="L416" t="s">
        <v>23</v>
      </c>
      <c r="M416">
        <v>18</v>
      </c>
      <c r="N416">
        <v>24.66</v>
      </c>
      <c r="O416">
        <f>Base_ventes[[#This Row],[BD_2.SELLING PRICE]]*Base_ventes[[#This Row],[QUANTITY]]</f>
        <v>24.66</v>
      </c>
      <c r="P416">
        <f>Base_ventes[[#This Row],[BD_2.BUYING PRIZE]]*Base_ventes[[#This Row],[QUANTITY]]</f>
        <v>18</v>
      </c>
      <c r="Q416">
        <f>Base_ventes[[#This Row],[Montant Vendu]]-Base_ventes[[#This Row],[Montant Acheté]]</f>
        <v>6.66</v>
      </c>
    </row>
    <row r="417" spans="1:17" x14ac:dyDescent="0.3">
      <c r="A417" s="1">
        <v>44776</v>
      </c>
      <c r="B417">
        <f>YEAR(Base_ventes[[#This Row],[DATE]])</f>
        <v>2022</v>
      </c>
      <c r="C417">
        <f>MONTH(Base_ventes[[#This Row],[DATE]])</f>
        <v>8</v>
      </c>
      <c r="D41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17" t="s">
        <v>29</v>
      </c>
      <c r="F417">
        <v>5</v>
      </c>
      <c r="G417" t="s">
        <v>87</v>
      </c>
      <c r="H417" t="s">
        <v>84</v>
      </c>
      <c r="I417">
        <v>65</v>
      </c>
      <c r="J417" t="s">
        <v>30</v>
      </c>
      <c r="K417" t="s">
        <v>26</v>
      </c>
      <c r="L417" t="s">
        <v>4</v>
      </c>
      <c r="M417">
        <v>73</v>
      </c>
      <c r="N417">
        <v>94.17</v>
      </c>
      <c r="O417">
        <f>Base_ventes[[#This Row],[BD_2.SELLING PRICE]]*Base_ventes[[#This Row],[QUANTITY]]</f>
        <v>470.85</v>
      </c>
      <c r="P417">
        <f>Base_ventes[[#This Row],[BD_2.BUYING PRIZE]]*Base_ventes[[#This Row],[QUANTITY]]</f>
        <v>365</v>
      </c>
      <c r="Q417">
        <f>Base_ventes[[#This Row],[Montant Vendu]]-Base_ventes[[#This Row],[Montant Acheté]]</f>
        <v>105.85000000000002</v>
      </c>
    </row>
    <row r="418" spans="1:17" x14ac:dyDescent="0.3">
      <c r="A418" s="1">
        <v>44779</v>
      </c>
      <c r="B418">
        <f>YEAR(Base_ventes[[#This Row],[DATE]])</f>
        <v>2022</v>
      </c>
      <c r="C418">
        <f>MONTH(Base_ventes[[#This Row],[DATE]])</f>
        <v>8</v>
      </c>
      <c r="D41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18" t="s">
        <v>37</v>
      </c>
      <c r="F418">
        <v>9</v>
      </c>
      <c r="G418" t="s">
        <v>82</v>
      </c>
      <c r="H418" t="s">
        <v>82</v>
      </c>
      <c r="I418">
        <v>14</v>
      </c>
      <c r="J418" t="s">
        <v>38</v>
      </c>
      <c r="K418" t="s">
        <v>26</v>
      </c>
      <c r="L418" t="s">
        <v>23</v>
      </c>
      <c r="M418">
        <v>13</v>
      </c>
      <c r="N418">
        <v>16.64</v>
      </c>
      <c r="O418">
        <f>Base_ventes[[#This Row],[BD_2.SELLING PRICE]]*Base_ventes[[#This Row],[QUANTITY]]</f>
        <v>149.76</v>
      </c>
      <c r="P418">
        <f>Base_ventes[[#This Row],[BD_2.BUYING PRIZE]]*Base_ventes[[#This Row],[QUANTITY]]</f>
        <v>117</v>
      </c>
      <c r="Q418">
        <f>Base_ventes[[#This Row],[Montant Vendu]]-Base_ventes[[#This Row],[Montant Acheté]]</f>
        <v>32.759999999999991</v>
      </c>
    </row>
    <row r="419" spans="1:17" x14ac:dyDescent="0.3">
      <c r="A419" s="1">
        <v>44781</v>
      </c>
      <c r="B419">
        <f>YEAR(Base_ventes[[#This Row],[DATE]])</f>
        <v>2022</v>
      </c>
      <c r="C419">
        <f>MONTH(Base_ventes[[#This Row],[DATE]])</f>
        <v>8</v>
      </c>
      <c r="D41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19" t="s">
        <v>37</v>
      </c>
      <c r="F419">
        <v>2</v>
      </c>
      <c r="G419" t="s">
        <v>87</v>
      </c>
      <c r="H419" t="s">
        <v>82</v>
      </c>
      <c r="I419">
        <v>72</v>
      </c>
      <c r="J419" t="s">
        <v>38</v>
      </c>
      <c r="K419" t="s">
        <v>26</v>
      </c>
      <c r="L419" t="s">
        <v>23</v>
      </c>
      <c r="M419">
        <v>13</v>
      </c>
      <c r="N419">
        <v>16.64</v>
      </c>
      <c r="O419">
        <f>Base_ventes[[#This Row],[BD_2.SELLING PRICE]]*Base_ventes[[#This Row],[QUANTITY]]</f>
        <v>33.28</v>
      </c>
      <c r="P419">
        <f>Base_ventes[[#This Row],[BD_2.BUYING PRIZE]]*Base_ventes[[#This Row],[QUANTITY]]</f>
        <v>26</v>
      </c>
      <c r="Q419">
        <f>Base_ventes[[#This Row],[Montant Vendu]]-Base_ventes[[#This Row],[Montant Acheté]]</f>
        <v>7.2800000000000011</v>
      </c>
    </row>
    <row r="420" spans="1:17" x14ac:dyDescent="0.3">
      <c r="A420" s="1">
        <v>44781</v>
      </c>
      <c r="B420">
        <f>YEAR(Base_ventes[[#This Row],[DATE]])</f>
        <v>2022</v>
      </c>
      <c r="C420">
        <f>MONTH(Base_ventes[[#This Row],[DATE]])</f>
        <v>8</v>
      </c>
      <c r="D42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20" t="s">
        <v>90</v>
      </c>
      <c r="F420">
        <v>12</v>
      </c>
      <c r="G420" t="s">
        <v>87</v>
      </c>
      <c r="H420" t="s">
        <v>84</v>
      </c>
      <c r="I420">
        <v>78</v>
      </c>
      <c r="J420" t="s">
        <v>91</v>
      </c>
      <c r="K420" t="s">
        <v>60</v>
      </c>
      <c r="L420" t="s">
        <v>4</v>
      </c>
      <c r="M420">
        <v>89</v>
      </c>
      <c r="N420">
        <v>117.48</v>
      </c>
      <c r="O420">
        <f>Base_ventes[[#This Row],[BD_2.SELLING PRICE]]*Base_ventes[[#This Row],[QUANTITY]]</f>
        <v>1409.76</v>
      </c>
      <c r="P420">
        <f>Base_ventes[[#This Row],[BD_2.BUYING PRIZE]]*Base_ventes[[#This Row],[QUANTITY]]</f>
        <v>1068</v>
      </c>
      <c r="Q420">
        <f>Base_ventes[[#This Row],[Montant Vendu]]-Base_ventes[[#This Row],[Montant Acheté]]</f>
        <v>341.76</v>
      </c>
    </row>
    <row r="421" spans="1:17" x14ac:dyDescent="0.3">
      <c r="A421" s="1">
        <v>44781</v>
      </c>
      <c r="B421">
        <f>YEAR(Base_ventes[[#This Row],[DATE]])</f>
        <v>2022</v>
      </c>
      <c r="C421">
        <f>MONTH(Base_ventes[[#This Row],[DATE]])</f>
        <v>8</v>
      </c>
      <c r="D42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21" t="s">
        <v>48</v>
      </c>
      <c r="F421">
        <v>11</v>
      </c>
      <c r="G421" t="s">
        <v>87</v>
      </c>
      <c r="H421" t="s">
        <v>84</v>
      </c>
      <c r="I421">
        <v>65</v>
      </c>
      <c r="J421" t="s">
        <v>49</v>
      </c>
      <c r="K421" t="s">
        <v>47</v>
      </c>
      <c r="L421" t="s">
        <v>14</v>
      </c>
      <c r="M421">
        <v>126</v>
      </c>
      <c r="N421">
        <v>162.54</v>
      </c>
      <c r="O421">
        <f>Base_ventes[[#This Row],[BD_2.SELLING PRICE]]*Base_ventes[[#This Row],[QUANTITY]]</f>
        <v>1787.9399999999998</v>
      </c>
      <c r="P421">
        <f>Base_ventes[[#This Row],[BD_2.BUYING PRIZE]]*Base_ventes[[#This Row],[QUANTITY]]</f>
        <v>1386</v>
      </c>
      <c r="Q421">
        <f>Base_ventes[[#This Row],[Montant Vendu]]-Base_ventes[[#This Row],[Montant Acheté]]</f>
        <v>401.93999999999983</v>
      </c>
    </row>
    <row r="422" spans="1:17" x14ac:dyDescent="0.3">
      <c r="A422" s="1">
        <v>44787</v>
      </c>
      <c r="B422">
        <f>YEAR(Base_ventes[[#This Row],[DATE]])</f>
        <v>2022</v>
      </c>
      <c r="C422">
        <f>MONTH(Base_ventes[[#This Row],[DATE]])</f>
        <v>8</v>
      </c>
      <c r="D42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22" t="s">
        <v>67</v>
      </c>
      <c r="F422">
        <v>14</v>
      </c>
      <c r="G422" t="s">
        <v>87</v>
      </c>
      <c r="H422" t="s">
        <v>84</v>
      </c>
      <c r="I422">
        <v>8</v>
      </c>
      <c r="J422" t="s">
        <v>68</v>
      </c>
      <c r="K422" t="s">
        <v>60</v>
      </c>
      <c r="L422" t="s">
        <v>14</v>
      </c>
      <c r="M422">
        <v>148</v>
      </c>
      <c r="N422">
        <v>201.28</v>
      </c>
      <c r="O422">
        <f>Base_ventes[[#This Row],[BD_2.SELLING PRICE]]*Base_ventes[[#This Row],[QUANTITY]]</f>
        <v>2817.92</v>
      </c>
      <c r="P422">
        <f>Base_ventes[[#This Row],[BD_2.BUYING PRIZE]]*Base_ventes[[#This Row],[QUANTITY]]</f>
        <v>2072</v>
      </c>
      <c r="Q422">
        <f>Base_ventes[[#This Row],[Montant Vendu]]-Base_ventes[[#This Row],[Montant Acheté]]</f>
        <v>745.92000000000007</v>
      </c>
    </row>
    <row r="423" spans="1:17" x14ac:dyDescent="0.3">
      <c r="A423" s="1">
        <v>44788</v>
      </c>
      <c r="B423">
        <f>YEAR(Base_ventes[[#This Row],[DATE]])</f>
        <v>2022</v>
      </c>
      <c r="C423">
        <f>MONTH(Base_ventes[[#This Row],[DATE]])</f>
        <v>8</v>
      </c>
      <c r="D42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23" t="s">
        <v>27</v>
      </c>
      <c r="F423">
        <v>10</v>
      </c>
      <c r="G423" t="s">
        <v>81</v>
      </c>
      <c r="H423" t="s">
        <v>84</v>
      </c>
      <c r="I423">
        <v>8</v>
      </c>
      <c r="J423" t="s">
        <v>28</v>
      </c>
      <c r="K423" t="s">
        <v>26</v>
      </c>
      <c r="L423" t="s">
        <v>11</v>
      </c>
      <c r="M423">
        <v>44</v>
      </c>
      <c r="N423">
        <v>48.4</v>
      </c>
      <c r="O423">
        <f>Base_ventes[[#This Row],[BD_2.SELLING PRICE]]*Base_ventes[[#This Row],[QUANTITY]]</f>
        <v>484</v>
      </c>
      <c r="P423">
        <f>Base_ventes[[#This Row],[BD_2.BUYING PRIZE]]*Base_ventes[[#This Row],[QUANTITY]]</f>
        <v>440</v>
      </c>
      <c r="Q423">
        <f>Base_ventes[[#This Row],[Montant Vendu]]-Base_ventes[[#This Row],[Montant Acheté]]</f>
        <v>44</v>
      </c>
    </row>
    <row r="424" spans="1:17" x14ac:dyDescent="0.3">
      <c r="A424" s="1">
        <v>44788</v>
      </c>
      <c r="B424">
        <f>YEAR(Base_ventes[[#This Row],[DATE]])</f>
        <v>2022</v>
      </c>
      <c r="C424">
        <f>MONTH(Base_ventes[[#This Row],[DATE]])</f>
        <v>8</v>
      </c>
      <c r="D42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24" t="s">
        <v>35</v>
      </c>
      <c r="F424">
        <v>7</v>
      </c>
      <c r="G424" t="s">
        <v>87</v>
      </c>
      <c r="H424" t="s">
        <v>82</v>
      </c>
      <c r="I424">
        <v>27</v>
      </c>
      <c r="J424" t="s">
        <v>36</v>
      </c>
      <c r="K424" t="s">
        <v>26</v>
      </c>
      <c r="L424" t="s">
        <v>23</v>
      </c>
      <c r="M424">
        <v>12</v>
      </c>
      <c r="N424">
        <v>15.719999999999999</v>
      </c>
      <c r="O424">
        <f>Base_ventes[[#This Row],[BD_2.SELLING PRICE]]*Base_ventes[[#This Row],[QUANTITY]]</f>
        <v>110.03999999999999</v>
      </c>
      <c r="P424">
        <f>Base_ventes[[#This Row],[BD_2.BUYING PRIZE]]*Base_ventes[[#This Row],[QUANTITY]]</f>
        <v>84</v>
      </c>
      <c r="Q424">
        <f>Base_ventes[[#This Row],[Montant Vendu]]-Base_ventes[[#This Row],[Montant Acheté]]</f>
        <v>26.039999999999992</v>
      </c>
    </row>
    <row r="425" spans="1:17" x14ac:dyDescent="0.3">
      <c r="A425" s="1">
        <v>44791</v>
      </c>
      <c r="B425">
        <f>YEAR(Base_ventes[[#This Row],[DATE]])</f>
        <v>2022</v>
      </c>
      <c r="C425">
        <f>MONTH(Base_ventes[[#This Row],[DATE]])</f>
        <v>8</v>
      </c>
      <c r="D42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25" t="s">
        <v>65</v>
      </c>
      <c r="F425">
        <v>8</v>
      </c>
      <c r="G425" t="s">
        <v>82</v>
      </c>
      <c r="H425" t="s">
        <v>82</v>
      </c>
      <c r="I425">
        <v>81</v>
      </c>
      <c r="J425" t="s">
        <v>66</v>
      </c>
      <c r="K425" t="s">
        <v>60</v>
      </c>
      <c r="L425" t="s">
        <v>11</v>
      </c>
      <c r="M425">
        <v>47</v>
      </c>
      <c r="N425">
        <v>53.11</v>
      </c>
      <c r="O425">
        <f>Base_ventes[[#This Row],[BD_2.SELLING PRICE]]*Base_ventes[[#This Row],[QUANTITY]]</f>
        <v>424.88</v>
      </c>
      <c r="P425">
        <f>Base_ventes[[#This Row],[BD_2.BUYING PRIZE]]*Base_ventes[[#This Row],[QUANTITY]]</f>
        <v>376</v>
      </c>
      <c r="Q425">
        <f>Base_ventes[[#This Row],[Montant Vendu]]-Base_ventes[[#This Row],[Montant Acheté]]</f>
        <v>48.879999999999995</v>
      </c>
    </row>
    <row r="426" spans="1:17" x14ac:dyDescent="0.3">
      <c r="A426" s="1">
        <v>44791</v>
      </c>
      <c r="B426">
        <f>YEAR(Base_ventes[[#This Row],[DATE]])</f>
        <v>2022</v>
      </c>
      <c r="C426">
        <f>MONTH(Base_ventes[[#This Row],[DATE]])</f>
        <v>8</v>
      </c>
      <c r="D42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26" t="s">
        <v>24</v>
      </c>
      <c r="F426">
        <v>2</v>
      </c>
      <c r="G426" t="s">
        <v>82</v>
      </c>
      <c r="H426" t="s">
        <v>84</v>
      </c>
      <c r="I426">
        <v>71</v>
      </c>
      <c r="J426" t="s">
        <v>25</v>
      </c>
      <c r="K426" t="s">
        <v>26</v>
      </c>
      <c r="L426" t="s">
        <v>14</v>
      </c>
      <c r="M426">
        <v>148</v>
      </c>
      <c r="N426">
        <v>164.28</v>
      </c>
      <c r="O426">
        <f>Base_ventes[[#This Row],[BD_2.SELLING PRICE]]*Base_ventes[[#This Row],[QUANTITY]]</f>
        <v>328.56</v>
      </c>
      <c r="P426">
        <f>Base_ventes[[#This Row],[BD_2.BUYING PRIZE]]*Base_ventes[[#This Row],[QUANTITY]]</f>
        <v>296</v>
      </c>
      <c r="Q426">
        <f>Base_ventes[[#This Row],[Montant Vendu]]-Base_ventes[[#This Row],[Montant Acheté]]</f>
        <v>32.56</v>
      </c>
    </row>
    <row r="427" spans="1:17" x14ac:dyDescent="0.3">
      <c r="A427" s="1">
        <v>44792</v>
      </c>
      <c r="B427">
        <f>YEAR(Base_ventes[[#This Row],[DATE]])</f>
        <v>2022</v>
      </c>
      <c r="C427">
        <f>MONTH(Base_ventes[[#This Row],[DATE]])</f>
        <v>8</v>
      </c>
      <c r="D42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27" t="s">
        <v>17</v>
      </c>
      <c r="F427">
        <v>3</v>
      </c>
      <c r="G427" t="s">
        <v>82</v>
      </c>
      <c r="H427" t="s">
        <v>82</v>
      </c>
      <c r="I427">
        <v>37</v>
      </c>
      <c r="J427" t="s">
        <v>18</v>
      </c>
      <c r="K427" t="s">
        <v>3</v>
      </c>
      <c r="L427" t="s">
        <v>11</v>
      </c>
      <c r="M427">
        <v>43</v>
      </c>
      <c r="N427">
        <v>47.730000000000004</v>
      </c>
      <c r="O427">
        <f>Base_ventes[[#This Row],[BD_2.SELLING PRICE]]*Base_ventes[[#This Row],[QUANTITY]]</f>
        <v>143.19</v>
      </c>
      <c r="P427">
        <f>Base_ventes[[#This Row],[BD_2.BUYING PRIZE]]*Base_ventes[[#This Row],[QUANTITY]]</f>
        <v>129</v>
      </c>
      <c r="Q427">
        <f>Base_ventes[[#This Row],[Montant Vendu]]-Base_ventes[[#This Row],[Montant Acheté]]</f>
        <v>14.189999999999998</v>
      </c>
    </row>
    <row r="428" spans="1:17" x14ac:dyDescent="0.3">
      <c r="A428" s="1">
        <v>44793</v>
      </c>
      <c r="B428">
        <f>YEAR(Base_ventes[[#This Row],[DATE]])</f>
        <v>2022</v>
      </c>
      <c r="C428">
        <f>MONTH(Base_ventes[[#This Row],[DATE]])</f>
        <v>8</v>
      </c>
      <c r="D42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28" t="s">
        <v>52</v>
      </c>
      <c r="F428">
        <v>13</v>
      </c>
      <c r="G428" t="s">
        <v>87</v>
      </c>
      <c r="H428" t="s">
        <v>82</v>
      </c>
      <c r="I428">
        <v>38</v>
      </c>
      <c r="J428" t="s">
        <v>53</v>
      </c>
      <c r="K428" t="s">
        <v>47</v>
      </c>
      <c r="L428" t="s">
        <v>14</v>
      </c>
      <c r="M428">
        <v>141</v>
      </c>
      <c r="N428">
        <v>149.46</v>
      </c>
      <c r="O428">
        <f>Base_ventes[[#This Row],[BD_2.SELLING PRICE]]*Base_ventes[[#This Row],[QUANTITY]]</f>
        <v>1942.98</v>
      </c>
      <c r="P428">
        <f>Base_ventes[[#This Row],[BD_2.BUYING PRIZE]]*Base_ventes[[#This Row],[QUANTITY]]</f>
        <v>1833</v>
      </c>
      <c r="Q428">
        <f>Base_ventes[[#This Row],[Montant Vendu]]-Base_ventes[[#This Row],[Montant Acheté]]</f>
        <v>109.98000000000002</v>
      </c>
    </row>
    <row r="429" spans="1:17" x14ac:dyDescent="0.3">
      <c r="A429" s="1">
        <v>44793</v>
      </c>
      <c r="B429">
        <f>YEAR(Base_ventes[[#This Row],[DATE]])</f>
        <v>2022</v>
      </c>
      <c r="C429">
        <f>MONTH(Base_ventes[[#This Row],[DATE]])</f>
        <v>8</v>
      </c>
      <c r="D42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29" t="s">
        <v>92</v>
      </c>
      <c r="F429">
        <v>14</v>
      </c>
      <c r="G429" t="s">
        <v>87</v>
      </c>
      <c r="H429" t="s">
        <v>82</v>
      </c>
      <c r="I429">
        <v>15</v>
      </c>
      <c r="J429" t="s">
        <v>93</v>
      </c>
      <c r="K429" t="s">
        <v>60</v>
      </c>
      <c r="L429" t="s">
        <v>4</v>
      </c>
      <c r="M429">
        <v>95</v>
      </c>
      <c r="N429">
        <v>119.7</v>
      </c>
      <c r="O429">
        <f>Base_ventes[[#This Row],[BD_2.SELLING PRICE]]*Base_ventes[[#This Row],[QUANTITY]]</f>
        <v>1675.8</v>
      </c>
      <c r="P429">
        <f>Base_ventes[[#This Row],[BD_2.BUYING PRIZE]]*Base_ventes[[#This Row],[QUANTITY]]</f>
        <v>1330</v>
      </c>
      <c r="Q429">
        <f>Base_ventes[[#This Row],[Montant Vendu]]-Base_ventes[[#This Row],[Montant Acheté]]</f>
        <v>345.79999999999995</v>
      </c>
    </row>
    <row r="430" spans="1:17" x14ac:dyDescent="0.3">
      <c r="A430" s="1">
        <v>44794</v>
      </c>
      <c r="B430">
        <f>YEAR(Base_ventes[[#This Row],[DATE]])</f>
        <v>2022</v>
      </c>
      <c r="C430">
        <f>MONTH(Base_ventes[[#This Row],[DATE]])</f>
        <v>8</v>
      </c>
      <c r="D43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30" t="s">
        <v>37</v>
      </c>
      <c r="F430">
        <v>4</v>
      </c>
      <c r="G430" t="s">
        <v>87</v>
      </c>
      <c r="H430" t="s">
        <v>82</v>
      </c>
      <c r="I430">
        <v>84</v>
      </c>
      <c r="J430" t="s">
        <v>38</v>
      </c>
      <c r="K430" t="s">
        <v>26</v>
      </c>
      <c r="L430" t="s">
        <v>23</v>
      </c>
      <c r="M430">
        <v>13</v>
      </c>
      <c r="N430">
        <v>16.64</v>
      </c>
      <c r="O430">
        <f>Base_ventes[[#This Row],[BD_2.SELLING PRICE]]*Base_ventes[[#This Row],[QUANTITY]]</f>
        <v>66.56</v>
      </c>
      <c r="P430">
        <f>Base_ventes[[#This Row],[BD_2.BUYING PRIZE]]*Base_ventes[[#This Row],[QUANTITY]]</f>
        <v>52</v>
      </c>
      <c r="Q430">
        <f>Base_ventes[[#This Row],[Montant Vendu]]-Base_ventes[[#This Row],[Montant Acheté]]</f>
        <v>14.560000000000002</v>
      </c>
    </row>
    <row r="431" spans="1:17" x14ac:dyDescent="0.3">
      <c r="A431" s="1">
        <v>44796</v>
      </c>
      <c r="B431">
        <f>YEAR(Base_ventes[[#This Row],[DATE]])</f>
        <v>2022</v>
      </c>
      <c r="C431">
        <f>MONTH(Base_ventes[[#This Row],[DATE]])</f>
        <v>8</v>
      </c>
      <c r="D43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31" t="s">
        <v>110</v>
      </c>
      <c r="F431">
        <v>11</v>
      </c>
      <c r="G431" t="s">
        <v>82</v>
      </c>
      <c r="H431" t="s">
        <v>82</v>
      </c>
      <c r="I431">
        <v>75</v>
      </c>
      <c r="J431" t="s">
        <v>111</v>
      </c>
      <c r="K431" t="s">
        <v>86</v>
      </c>
      <c r="L431" t="s">
        <v>4</v>
      </c>
      <c r="M431">
        <v>76</v>
      </c>
      <c r="N431">
        <v>82.08</v>
      </c>
      <c r="O431">
        <f>Base_ventes[[#This Row],[BD_2.SELLING PRICE]]*Base_ventes[[#This Row],[QUANTITY]]</f>
        <v>902.88</v>
      </c>
      <c r="P431">
        <f>Base_ventes[[#This Row],[BD_2.BUYING PRIZE]]*Base_ventes[[#This Row],[QUANTITY]]</f>
        <v>836</v>
      </c>
      <c r="Q431">
        <f>Base_ventes[[#This Row],[Montant Vendu]]-Base_ventes[[#This Row],[Montant Acheté]]</f>
        <v>66.88</v>
      </c>
    </row>
    <row r="432" spans="1:17" x14ac:dyDescent="0.3">
      <c r="A432" s="1">
        <v>44796</v>
      </c>
      <c r="B432">
        <f>YEAR(Base_ventes[[#This Row],[DATE]])</f>
        <v>2022</v>
      </c>
      <c r="C432">
        <f>MONTH(Base_ventes[[#This Row],[DATE]])</f>
        <v>8</v>
      </c>
      <c r="D43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32" t="s">
        <v>65</v>
      </c>
      <c r="F432">
        <v>14</v>
      </c>
      <c r="G432" t="s">
        <v>87</v>
      </c>
      <c r="H432" t="s">
        <v>84</v>
      </c>
      <c r="I432">
        <v>27</v>
      </c>
      <c r="J432" t="s">
        <v>66</v>
      </c>
      <c r="K432" t="s">
        <v>60</v>
      </c>
      <c r="L432" t="s">
        <v>11</v>
      </c>
      <c r="M432">
        <v>47</v>
      </c>
      <c r="N432">
        <v>53.11</v>
      </c>
      <c r="O432">
        <f>Base_ventes[[#This Row],[BD_2.SELLING PRICE]]*Base_ventes[[#This Row],[QUANTITY]]</f>
        <v>743.54</v>
      </c>
      <c r="P432">
        <f>Base_ventes[[#This Row],[BD_2.BUYING PRIZE]]*Base_ventes[[#This Row],[QUANTITY]]</f>
        <v>658</v>
      </c>
      <c r="Q432">
        <f>Base_ventes[[#This Row],[Montant Vendu]]-Base_ventes[[#This Row],[Montant Acheté]]</f>
        <v>85.539999999999964</v>
      </c>
    </row>
    <row r="433" spans="1:17" x14ac:dyDescent="0.3">
      <c r="A433" s="1">
        <v>44797</v>
      </c>
      <c r="B433">
        <f>YEAR(Base_ventes[[#This Row],[DATE]])</f>
        <v>2022</v>
      </c>
      <c r="C433">
        <f>MONTH(Base_ventes[[#This Row],[DATE]])</f>
        <v>8</v>
      </c>
      <c r="D43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33" t="s">
        <v>12</v>
      </c>
      <c r="F433">
        <v>5</v>
      </c>
      <c r="G433" t="s">
        <v>87</v>
      </c>
      <c r="H433" t="s">
        <v>84</v>
      </c>
      <c r="I433">
        <v>69</v>
      </c>
      <c r="J433" t="s">
        <v>13</v>
      </c>
      <c r="K433" t="s">
        <v>3</v>
      </c>
      <c r="L433" t="s">
        <v>14</v>
      </c>
      <c r="M433">
        <v>133</v>
      </c>
      <c r="N433">
        <v>155.61000000000001</v>
      </c>
      <c r="O433">
        <f>Base_ventes[[#This Row],[BD_2.SELLING PRICE]]*Base_ventes[[#This Row],[QUANTITY]]</f>
        <v>778.05000000000007</v>
      </c>
      <c r="P433">
        <f>Base_ventes[[#This Row],[BD_2.BUYING PRIZE]]*Base_ventes[[#This Row],[QUANTITY]]</f>
        <v>665</v>
      </c>
      <c r="Q433">
        <f>Base_ventes[[#This Row],[Montant Vendu]]-Base_ventes[[#This Row],[Montant Acheté]]</f>
        <v>113.05000000000007</v>
      </c>
    </row>
    <row r="434" spans="1:17" x14ac:dyDescent="0.3">
      <c r="A434" s="1">
        <v>44799</v>
      </c>
      <c r="B434">
        <f>YEAR(Base_ventes[[#This Row],[DATE]])</f>
        <v>2022</v>
      </c>
      <c r="C434">
        <f>MONTH(Base_ventes[[#This Row],[DATE]])</f>
        <v>8</v>
      </c>
      <c r="D43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34" t="s">
        <v>43</v>
      </c>
      <c r="F434">
        <v>13</v>
      </c>
      <c r="G434" t="s">
        <v>81</v>
      </c>
      <c r="H434" t="s">
        <v>84</v>
      </c>
      <c r="I434">
        <v>54</v>
      </c>
      <c r="J434" t="s">
        <v>44</v>
      </c>
      <c r="K434" t="s">
        <v>26</v>
      </c>
      <c r="L434" t="s">
        <v>14</v>
      </c>
      <c r="M434">
        <v>150</v>
      </c>
      <c r="N434">
        <v>210</v>
      </c>
      <c r="O434">
        <f>Base_ventes[[#This Row],[BD_2.SELLING PRICE]]*Base_ventes[[#This Row],[QUANTITY]]</f>
        <v>2730</v>
      </c>
      <c r="P434">
        <f>Base_ventes[[#This Row],[BD_2.BUYING PRIZE]]*Base_ventes[[#This Row],[QUANTITY]]</f>
        <v>1950</v>
      </c>
      <c r="Q434">
        <f>Base_ventes[[#This Row],[Montant Vendu]]-Base_ventes[[#This Row],[Montant Acheté]]</f>
        <v>780</v>
      </c>
    </row>
    <row r="435" spans="1:17" x14ac:dyDescent="0.3">
      <c r="A435" s="1">
        <v>44799</v>
      </c>
      <c r="B435">
        <f>YEAR(Base_ventes[[#This Row],[DATE]])</f>
        <v>2022</v>
      </c>
      <c r="C435">
        <f>MONTH(Base_ventes[[#This Row],[DATE]])</f>
        <v>8</v>
      </c>
      <c r="D43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35" t="s">
        <v>98</v>
      </c>
      <c r="F435">
        <v>8</v>
      </c>
      <c r="G435" t="s">
        <v>82</v>
      </c>
      <c r="H435" t="s">
        <v>82</v>
      </c>
      <c r="I435">
        <v>3</v>
      </c>
      <c r="J435" t="s">
        <v>99</v>
      </c>
      <c r="K435" t="s">
        <v>86</v>
      </c>
      <c r="L435" t="s">
        <v>4</v>
      </c>
      <c r="M435">
        <v>67</v>
      </c>
      <c r="N435">
        <v>85.76</v>
      </c>
      <c r="O435">
        <f>Base_ventes[[#This Row],[BD_2.SELLING PRICE]]*Base_ventes[[#This Row],[QUANTITY]]</f>
        <v>686.08</v>
      </c>
      <c r="P435">
        <f>Base_ventes[[#This Row],[BD_2.BUYING PRIZE]]*Base_ventes[[#This Row],[QUANTITY]]</f>
        <v>536</v>
      </c>
      <c r="Q435">
        <f>Base_ventes[[#This Row],[Montant Vendu]]-Base_ventes[[#This Row],[Montant Acheté]]</f>
        <v>150.08000000000004</v>
      </c>
    </row>
    <row r="436" spans="1:17" x14ac:dyDescent="0.3">
      <c r="A436" s="1">
        <v>44800</v>
      </c>
      <c r="B436">
        <f>YEAR(Base_ventes[[#This Row],[DATE]])</f>
        <v>2022</v>
      </c>
      <c r="C436">
        <f>MONTH(Base_ventes[[#This Row],[DATE]])</f>
        <v>8</v>
      </c>
      <c r="D43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36" t="s">
        <v>100</v>
      </c>
      <c r="F436">
        <v>15</v>
      </c>
      <c r="G436" t="s">
        <v>81</v>
      </c>
      <c r="H436" t="s">
        <v>82</v>
      </c>
      <c r="I436">
        <v>57</v>
      </c>
      <c r="J436" t="s">
        <v>101</v>
      </c>
      <c r="K436" t="s">
        <v>86</v>
      </c>
      <c r="L436" t="s">
        <v>23</v>
      </c>
      <c r="M436">
        <v>37</v>
      </c>
      <c r="N436">
        <v>42.55</v>
      </c>
      <c r="O436">
        <f>Base_ventes[[#This Row],[BD_2.SELLING PRICE]]*Base_ventes[[#This Row],[QUANTITY]]</f>
        <v>638.25</v>
      </c>
      <c r="P436">
        <f>Base_ventes[[#This Row],[BD_2.BUYING PRIZE]]*Base_ventes[[#This Row],[QUANTITY]]</f>
        <v>555</v>
      </c>
      <c r="Q436">
        <f>Base_ventes[[#This Row],[Montant Vendu]]-Base_ventes[[#This Row],[Montant Acheté]]</f>
        <v>83.25</v>
      </c>
    </row>
    <row r="437" spans="1:17" x14ac:dyDescent="0.3">
      <c r="A437" s="1">
        <v>44801</v>
      </c>
      <c r="B437">
        <f>YEAR(Base_ventes[[#This Row],[DATE]])</f>
        <v>2022</v>
      </c>
      <c r="C437">
        <f>MONTH(Base_ventes[[#This Row],[DATE]])</f>
        <v>8</v>
      </c>
      <c r="D43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37" t="s">
        <v>12</v>
      </c>
      <c r="F437">
        <v>9</v>
      </c>
      <c r="G437" t="s">
        <v>82</v>
      </c>
      <c r="H437" t="s">
        <v>82</v>
      </c>
      <c r="I437">
        <v>20</v>
      </c>
      <c r="J437" t="s">
        <v>13</v>
      </c>
      <c r="K437" t="s">
        <v>3</v>
      </c>
      <c r="L437" t="s">
        <v>14</v>
      </c>
      <c r="M437">
        <v>133</v>
      </c>
      <c r="N437">
        <v>155.61000000000001</v>
      </c>
      <c r="O437">
        <f>Base_ventes[[#This Row],[BD_2.SELLING PRICE]]*Base_ventes[[#This Row],[QUANTITY]]</f>
        <v>1400.4900000000002</v>
      </c>
      <c r="P437">
        <f>Base_ventes[[#This Row],[BD_2.BUYING PRIZE]]*Base_ventes[[#This Row],[QUANTITY]]</f>
        <v>1197</v>
      </c>
      <c r="Q437">
        <f>Base_ventes[[#This Row],[Montant Vendu]]-Base_ventes[[#This Row],[Montant Acheté]]</f>
        <v>203.49000000000024</v>
      </c>
    </row>
    <row r="438" spans="1:17" x14ac:dyDescent="0.3">
      <c r="A438" s="1">
        <v>44801</v>
      </c>
      <c r="B438">
        <f>YEAR(Base_ventes[[#This Row],[DATE]])</f>
        <v>2022</v>
      </c>
      <c r="C438">
        <f>MONTH(Base_ventes[[#This Row],[DATE]])</f>
        <v>8</v>
      </c>
      <c r="D43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38" t="s">
        <v>100</v>
      </c>
      <c r="F438">
        <v>5</v>
      </c>
      <c r="G438" t="s">
        <v>87</v>
      </c>
      <c r="H438" t="s">
        <v>82</v>
      </c>
      <c r="I438">
        <v>51</v>
      </c>
      <c r="J438" t="s">
        <v>101</v>
      </c>
      <c r="K438" t="s">
        <v>86</v>
      </c>
      <c r="L438" t="s">
        <v>23</v>
      </c>
      <c r="M438">
        <v>37</v>
      </c>
      <c r="N438">
        <v>42.55</v>
      </c>
      <c r="O438">
        <f>Base_ventes[[#This Row],[BD_2.SELLING PRICE]]*Base_ventes[[#This Row],[QUANTITY]]</f>
        <v>212.75</v>
      </c>
      <c r="P438">
        <f>Base_ventes[[#This Row],[BD_2.BUYING PRIZE]]*Base_ventes[[#This Row],[QUANTITY]]</f>
        <v>185</v>
      </c>
      <c r="Q438">
        <f>Base_ventes[[#This Row],[Montant Vendu]]-Base_ventes[[#This Row],[Montant Acheté]]</f>
        <v>27.75</v>
      </c>
    </row>
    <row r="439" spans="1:17" x14ac:dyDescent="0.3">
      <c r="A439" s="1">
        <v>44803</v>
      </c>
      <c r="B439">
        <f>YEAR(Base_ventes[[#This Row],[DATE]])</f>
        <v>2022</v>
      </c>
      <c r="C439">
        <f>MONTH(Base_ventes[[#This Row],[DATE]])</f>
        <v>8</v>
      </c>
      <c r="D43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39" t="s">
        <v>15</v>
      </c>
      <c r="F439">
        <v>6</v>
      </c>
      <c r="G439" t="s">
        <v>82</v>
      </c>
      <c r="H439" t="s">
        <v>84</v>
      </c>
      <c r="I439">
        <v>82</v>
      </c>
      <c r="J439" t="s">
        <v>16</v>
      </c>
      <c r="K439" t="s">
        <v>3</v>
      </c>
      <c r="L439" t="s">
        <v>4</v>
      </c>
      <c r="M439">
        <v>75</v>
      </c>
      <c r="N439">
        <v>85.5</v>
      </c>
      <c r="O439">
        <f>Base_ventes[[#This Row],[BD_2.SELLING PRICE]]*Base_ventes[[#This Row],[QUANTITY]]</f>
        <v>513</v>
      </c>
      <c r="P439">
        <f>Base_ventes[[#This Row],[BD_2.BUYING PRIZE]]*Base_ventes[[#This Row],[QUANTITY]]</f>
        <v>450</v>
      </c>
      <c r="Q439">
        <f>Base_ventes[[#This Row],[Montant Vendu]]-Base_ventes[[#This Row],[Montant Acheté]]</f>
        <v>63</v>
      </c>
    </row>
    <row r="440" spans="1:17" x14ac:dyDescent="0.3">
      <c r="A440" s="1">
        <v>44803</v>
      </c>
      <c r="B440">
        <f>YEAR(Base_ventes[[#This Row],[DATE]])</f>
        <v>2022</v>
      </c>
      <c r="C440">
        <f>MONTH(Base_ventes[[#This Row],[DATE]])</f>
        <v>8</v>
      </c>
      <c r="D44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40" t="s">
        <v>108</v>
      </c>
      <c r="F440">
        <v>6</v>
      </c>
      <c r="G440" t="s">
        <v>87</v>
      </c>
      <c r="H440" t="s">
        <v>84</v>
      </c>
      <c r="I440">
        <v>41</v>
      </c>
      <c r="J440" t="s">
        <v>109</v>
      </c>
      <c r="K440" t="s">
        <v>86</v>
      </c>
      <c r="L440" t="s">
        <v>4</v>
      </c>
      <c r="M440">
        <v>67</v>
      </c>
      <c r="N440">
        <v>83.08</v>
      </c>
      <c r="O440">
        <f>Base_ventes[[#This Row],[BD_2.SELLING PRICE]]*Base_ventes[[#This Row],[QUANTITY]]</f>
        <v>498.48</v>
      </c>
      <c r="P440">
        <f>Base_ventes[[#This Row],[BD_2.BUYING PRIZE]]*Base_ventes[[#This Row],[QUANTITY]]</f>
        <v>402</v>
      </c>
      <c r="Q440">
        <f>Base_ventes[[#This Row],[Montant Vendu]]-Base_ventes[[#This Row],[Montant Acheté]]</f>
        <v>96.480000000000018</v>
      </c>
    </row>
    <row r="441" spans="1:17" x14ac:dyDescent="0.3">
      <c r="A441" s="1">
        <v>44803</v>
      </c>
      <c r="B441">
        <f>YEAR(Base_ventes[[#This Row],[DATE]])</f>
        <v>2022</v>
      </c>
      <c r="C441">
        <f>MONTH(Base_ventes[[#This Row],[DATE]])</f>
        <v>8</v>
      </c>
      <c r="D44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41" t="s">
        <v>56</v>
      </c>
      <c r="F441">
        <v>5</v>
      </c>
      <c r="G441" t="s">
        <v>87</v>
      </c>
      <c r="H441" t="s">
        <v>84</v>
      </c>
      <c r="I441">
        <v>13</v>
      </c>
      <c r="J441" t="s">
        <v>57</v>
      </c>
      <c r="K441" t="s">
        <v>47</v>
      </c>
      <c r="L441" t="s">
        <v>23</v>
      </c>
      <c r="M441">
        <v>7</v>
      </c>
      <c r="N441">
        <v>8.33</v>
      </c>
      <c r="O441">
        <f>Base_ventes[[#This Row],[BD_2.SELLING PRICE]]*Base_ventes[[#This Row],[QUANTITY]]</f>
        <v>41.65</v>
      </c>
      <c r="P441">
        <f>Base_ventes[[#This Row],[BD_2.BUYING PRIZE]]*Base_ventes[[#This Row],[QUANTITY]]</f>
        <v>35</v>
      </c>
      <c r="Q441">
        <f>Base_ventes[[#This Row],[Montant Vendu]]-Base_ventes[[#This Row],[Montant Acheté]]</f>
        <v>6.6499999999999986</v>
      </c>
    </row>
    <row r="442" spans="1:17" x14ac:dyDescent="0.3">
      <c r="A442" s="1">
        <v>44804</v>
      </c>
      <c r="B442">
        <f>YEAR(Base_ventes[[#This Row],[DATE]])</f>
        <v>2022</v>
      </c>
      <c r="C442">
        <f>MONTH(Base_ventes[[#This Row],[DATE]])</f>
        <v>8</v>
      </c>
      <c r="D44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Août</v>
      </c>
      <c r="E442" t="s">
        <v>35</v>
      </c>
      <c r="F442">
        <v>13</v>
      </c>
      <c r="G442" t="s">
        <v>87</v>
      </c>
      <c r="H442" t="s">
        <v>84</v>
      </c>
      <c r="I442">
        <v>75</v>
      </c>
      <c r="J442" t="s">
        <v>36</v>
      </c>
      <c r="K442" t="s">
        <v>26</v>
      </c>
      <c r="L442" t="s">
        <v>23</v>
      </c>
      <c r="M442">
        <v>12</v>
      </c>
      <c r="N442">
        <v>15.719999999999999</v>
      </c>
      <c r="O442">
        <f>Base_ventes[[#This Row],[BD_2.SELLING PRICE]]*Base_ventes[[#This Row],[QUANTITY]]</f>
        <v>204.35999999999999</v>
      </c>
      <c r="P442">
        <f>Base_ventes[[#This Row],[BD_2.BUYING PRIZE]]*Base_ventes[[#This Row],[QUANTITY]]</f>
        <v>156</v>
      </c>
      <c r="Q442">
        <f>Base_ventes[[#This Row],[Montant Vendu]]-Base_ventes[[#This Row],[Montant Acheté]]</f>
        <v>48.359999999999985</v>
      </c>
    </row>
    <row r="443" spans="1:17" x14ac:dyDescent="0.3">
      <c r="A443" s="1">
        <v>44808</v>
      </c>
      <c r="B443">
        <f>YEAR(Base_ventes[[#This Row],[DATE]])</f>
        <v>2022</v>
      </c>
      <c r="C443">
        <f>MONTH(Base_ventes[[#This Row],[DATE]])</f>
        <v>9</v>
      </c>
      <c r="D44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43" t="s">
        <v>5</v>
      </c>
      <c r="F443">
        <v>1</v>
      </c>
      <c r="G443" t="s">
        <v>87</v>
      </c>
      <c r="H443" t="s">
        <v>84</v>
      </c>
      <c r="I443">
        <v>83</v>
      </c>
      <c r="J443" t="s">
        <v>6</v>
      </c>
      <c r="K443" t="s">
        <v>3</v>
      </c>
      <c r="L443" t="s">
        <v>4</v>
      </c>
      <c r="M443">
        <v>105</v>
      </c>
      <c r="N443">
        <v>142.80000000000001</v>
      </c>
      <c r="O443">
        <f>Base_ventes[[#This Row],[BD_2.SELLING PRICE]]*Base_ventes[[#This Row],[QUANTITY]]</f>
        <v>142.80000000000001</v>
      </c>
      <c r="P443">
        <f>Base_ventes[[#This Row],[BD_2.BUYING PRIZE]]*Base_ventes[[#This Row],[QUANTITY]]</f>
        <v>105</v>
      </c>
      <c r="Q443">
        <f>Base_ventes[[#This Row],[Montant Vendu]]-Base_ventes[[#This Row],[Montant Acheté]]</f>
        <v>37.800000000000011</v>
      </c>
    </row>
    <row r="444" spans="1:17" x14ac:dyDescent="0.3">
      <c r="A444" s="1">
        <v>44810</v>
      </c>
      <c r="B444">
        <f>YEAR(Base_ventes[[#This Row],[DATE]])</f>
        <v>2022</v>
      </c>
      <c r="C444">
        <f>MONTH(Base_ventes[[#This Row],[DATE]])</f>
        <v>9</v>
      </c>
      <c r="D44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44" t="s">
        <v>12</v>
      </c>
      <c r="F444">
        <v>12</v>
      </c>
      <c r="G444" t="s">
        <v>81</v>
      </c>
      <c r="H444" t="s">
        <v>82</v>
      </c>
      <c r="I444">
        <v>68</v>
      </c>
      <c r="J444" t="s">
        <v>13</v>
      </c>
      <c r="K444" t="s">
        <v>3</v>
      </c>
      <c r="L444" t="s">
        <v>14</v>
      </c>
      <c r="M444">
        <v>133</v>
      </c>
      <c r="N444">
        <v>155.61000000000001</v>
      </c>
      <c r="O444">
        <f>Base_ventes[[#This Row],[BD_2.SELLING PRICE]]*Base_ventes[[#This Row],[QUANTITY]]</f>
        <v>1867.3200000000002</v>
      </c>
      <c r="P444">
        <f>Base_ventes[[#This Row],[BD_2.BUYING PRIZE]]*Base_ventes[[#This Row],[QUANTITY]]</f>
        <v>1596</v>
      </c>
      <c r="Q444">
        <f>Base_ventes[[#This Row],[Montant Vendu]]-Base_ventes[[#This Row],[Montant Acheté]]</f>
        <v>271.32000000000016</v>
      </c>
    </row>
    <row r="445" spans="1:17" x14ac:dyDescent="0.3">
      <c r="A445" s="1">
        <v>44813</v>
      </c>
      <c r="B445">
        <f>YEAR(Base_ventes[[#This Row],[DATE]])</f>
        <v>2022</v>
      </c>
      <c r="C445">
        <f>MONTH(Base_ventes[[#This Row],[DATE]])</f>
        <v>9</v>
      </c>
      <c r="D44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45" t="s">
        <v>104</v>
      </c>
      <c r="F445">
        <v>9</v>
      </c>
      <c r="G445" t="s">
        <v>87</v>
      </c>
      <c r="H445" t="s">
        <v>82</v>
      </c>
      <c r="I445">
        <v>40</v>
      </c>
      <c r="J445" t="s">
        <v>105</v>
      </c>
      <c r="K445" t="s">
        <v>86</v>
      </c>
      <c r="L445" t="s">
        <v>14</v>
      </c>
      <c r="M445">
        <v>138</v>
      </c>
      <c r="N445">
        <v>173.88</v>
      </c>
      <c r="O445">
        <f>Base_ventes[[#This Row],[BD_2.SELLING PRICE]]*Base_ventes[[#This Row],[QUANTITY]]</f>
        <v>1564.92</v>
      </c>
      <c r="P445">
        <f>Base_ventes[[#This Row],[BD_2.BUYING PRIZE]]*Base_ventes[[#This Row],[QUANTITY]]</f>
        <v>1242</v>
      </c>
      <c r="Q445">
        <f>Base_ventes[[#This Row],[Montant Vendu]]-Base_ventes[[#This Row],[Montant Acheté]]</f>
        <v>322.92000000000007</v>
      </c>
    </row>
    <row r="446" spans="1:17" x14ac:dyDescent="0.3">
      <c r="A446" s="1">
        <v>44813</v>
      </c>
      <c r="B446">
        <f>YEAR(Base_ventes[[#This Row],[DATE]])</f>
        <v>2022</v>
      </c>
      <c r="C446">
        <f>MONTH(Base_ventes[[#This Row],[DATE]])</f>
        <v>9</v>
      </c>
      <c r="D44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46" t="s">
        <v>7</v>
      </c>
      <c r="F446">
        <v>3</v>
      </c>
      <c r="G446" t="s">
        <v>87</v>
      </c>
      <c r="H446" t="s">
        <v>82</v>
      </c>
      <c r="I446">
        <v>3</v>
      </c>
      <c r="J446" t="s">
        <v>8</v>
      </c>
      <c r="K446" t="s">
        <v>3</v>
      </c>
      <c r="L446" t="s">
        <v>4</v>
      </c>
      <c r="M446">
        <v>71</v>
      </c>
      <c r="N446">
        <v>80.94</v>
      </c>
      <c r="O446">
        <f>Base_ventes[[#This Row],[BD_2.SELLING PRICE]]*Base_ventes[[#This Row],[QUANTITY]]</f>
        <v>242.82</v>
      </c>
      <c r="P446">
        <f>Base_ventes[[#This Row],[BD_2.BUYING PRIZE]]*Base_ventes[[#This Row],[QUANTITY]]</f>
        <v>213</v>
      </c>
      <c r="Q446">
        <f>Base_ventes[[#This Row],[Montant Vendu]]-Base_ventes[[#This Row],[Montant Acheté]]</f>
        <v>29.819999999999993</v>
      </c>
    </row>
    <row r="447" spans="1:17" x14ac:dyDescent="0.3">
      <c r="A447" s="1">
        <v>44814</v>
      </c>
      <c r="B447">
        <f>YEAR(Base_ventes[[#This Row],[DATE]])</f>
        <v>2022</v>
      </c>
      <c r="C447">
        <f>MONTH(Base_ventes[[#This Row],[DATE]])</f>
        <v>9</v>
      </c>
      <c r="D44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47" t="s">
        <v>88</v>
      </c>
      <c r="F447">
        <v>15</v>
      </c>
      <c r="G447" t="s">
        <v>82</v>
      </c>
      <c r="H447" t="s">
        <v>84</v>
      </c>
      <c r="I447">
        <v>90</v>
      </c>
      <c r="J447" t="s">
        <v>89</v>
      </c>
      <c r="K447" t="s">
        <v>60</v>
      </c>
      <c r="L447" t="s">
        <v>23</v>
      </c>
      <c r="M447">
        <v>5</v>
      </c>
      <c r="N447">
        <v>6.7</v>
      </c>
      <c r="O447">
        <f>Base_ventes[[#This Row],[BD_2.SELLING PRICE]]*Base_ventes[[#This Row],[QUANTITY]]</f>
        <v>100.5</v>
      </c>
      <c r="P447">
        <f>Base_ventes[[#This Row],[BD_2.BUYING PRIZE]]*Base_ventes[[#This Row],[QUANTITY]]</f>
        <v>75</v>
      </c>
      <c r="Q447">
        <f>Base_ventes[[#This Row],[Montant Vendu]]-Base_ventes[[#This Row],[Montant Acheté]]</f>
        <v>25.5</v>
      </c>
    </row>
    <row r="448" spans="1:17" x14ac:dyDescent="0.3">
      <c r="A448" s="1">
        <v>44814</v>
      </c>
      <c r="B448">
        <f>YEAR(Base_ventes[[#This Row],[DATE]])</f>
        <v>2022</v>
      </c>
      <c r="C448">
        <f>MONTH(Base_ventes[[#This Row],[DATE]])</f>
        <v>9</v>
      </c>
      <c r="D44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48" t="s">
        <v>83</v>
      </c>
      <c r="F448">
        <v>4</v>
      </c>
      <c r="G448" t="s">
        <v>87</v>
      </c>
      <c r="H448" t="s">
        <v>84</v>
      </c>
      <c r="I448">
        <v>73</v>
      </c>
      <c r="J448" t="s">
        <v>85</v>
      </c>
      <c r="K448" t="s">
        <v>86</v>
      </c>
      <c r="L448" t="s">
        <v>4</v>
      </c>
      <c r="M448">
        <v>72</v>
      </c>
      <c r="N448">
        <v>79.92</v>
      </c>
      <c r="O448">
        <f>Base_ventes[[#This Row],[BD_2.SELLING PRICE]]*Base_ventes[[#This Row],[QUANTITY]]</f>
        <v>319.68</v>
      </c>
      <c r="P448">
        <f>Base_ventes[[#This Row],[BD_2.BUYING PRIZE]]*Base_ventes[[#This Row],[QUANTITY]]</f>
        <v>288</v>
      </c>
      <c r="Q448">
        <f>Base_ventes[[#This Row],[Montant Vendu]]-Base_ventes[[#This Row],[Montant Acheté]]</f>
        <v>31.680000000000007</v>
      </c>
    </row>
    <row r="449" spans="1:17" x14ac:dyDescent="0.3">
      <c r="A449" s="1">
        <v>44818</v>
      </c>
      <c r="B449">
        <f>YEAR(Base_ventes[[#This Row],[DATE]])</f>
        <v>2022</v>
      </c>
      <c r="C449">
        <f>MONTH(Base_ventes[[#This Row],[DATE]])</f>
        <v>9</v>
      </c>
      <c r="D44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49" t="s">
        <v>65</v>
      </c>
      <c r="F449">
        <v>3</v>
      </c>
      <c r="G449" t="s">
        <v>87</v>
      </c>
      <c r="H449" t="s">
        <v>84</v>
      </c>
      <c r="I449">
        <v>59</v>
      </c>
      <c r="J449" t="s">
        <v>66</v>
      </c>
      <c r="K449" t="s">
        <v>60</v>
      </c>
      <c r="L449" t="s">
        <v>11</v>
      </c>
      <c r="M449">
        <v>47</v>
      </c>
      <c r="N449">
        <v>53.11</v>
      </c>
      <c r="O449">
        <f>Base_ventes[[#This Row],[BD_2.SELLING PRICE]]*Base_ventes[[#This Row],[QUANTITY]]</f>
        <v>159.32999999999998</v>
      </c>
      <c r="P449">
        <f>Base_ventes[[#This Row],[BD_2.BUYING PRIZE]]*Base_ventes[[#This Row],[QUANTITY]]</f>
        <v>141</v>
      </c>
      <c r="Q449">
        <f>Base_ventes[[#This Row],[Montant Vendu]]-Base_ventes[[#This Row],[Montant Acheté]]</f>
        <v>18.329999999999984</v>
      </c>
    </row>
    <row r="450" spans="1:17" x14ac:dyDescent="0.3">
      <c r="A450" s="1">
        <v>44819</v>
      </c>
      <c r="B450">
        <f>YEAR(Base_ventes[[#This Row],[DATE]])</f>
        <v>2022</v>
      </c>
      <c r="C450">
        <f>MONTH(Base_ventes[[#This Row],[DATE]])</f>
        <v>9</v>
      </c>
      <c r="D45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50" t="s">
        <v>98</v>
      </c>
      <c r="F450">
        <v>15</v>
      </c>
      <c r="G450" t="s">
        <v>82</v>
      </c>
      <c r="H450" t="s">
        <v>82</v>
      </c>
      <c r="I450">
        <v>13</v>
      </c>
      <c r="J450" t="s">
        <v>99</v>
      </c>
      <c r="K450" t="s">
        <v>86</v>
      </c>
      <c r="L450" t="s">
        <v>4</v>
      </c>
      <c r="M450">
        <v>67</v>
      </c>
      <c r="N450">
        <v>85.76</v>
      </c>
      <c r="O450">
        <f>Base_ventes[[#This Row],[BD_2.SELLING PRICE]]*Base_ventes[[#This Row],[QUANTITY]]</f>
        <v>1286.4000000000001</v>
      </c>
      <c r="P450">
        <f>Base_ventes[[#This Row],[BD_2.BUYING PRIZE]]*Base_ventes[[#This Row],[QUANTITY]]</f>
        <v>1005</v>
      </c>
      <c r="Q450">
        <f>Base_ventes[[#This Row],[Montant Vendu]]-Base_ventes[[#This Row],[Montant Acheté]]</f>
        <v>281.40000000000009</v>
      </c>
    </row>
    <row r="451" spans="1:17" x14ac:dyDescent="0.3">
      <c r="A451" s="1">
        <v>44822</v>
      </c>
      <c r="B451">
        <f>YEAR(Base_ventes[[#This Row],[DATE]])</f>
        <v>2022</v>
      </c>
      <c r="C451">
        <f>MONTH(Base_ventes[[#This Row],[DATE]])</f>
        <v>9</v>
      </c>
      <c r="D45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51" t="s">
        <v>58</v>
      </c>
      <c r="F451">
        <v>14</v>
      </c>
      <c r="G451" t="s">
        <v>82</v>
      </c>
      <c r="H451" t="s">
        <v>84</v>
      </c>
      <c r="I451">
        <v>2</v>
      </c>
      <c r="J451" t="s">
        <v>59</v>
      </c>
      <c r="K451" t="s">
        <v>60</v>
      </c>
      <c r="L451" t="s">
        <v>23</v>
      </c>
      <c r="M451">
        <v>18</v>
      </c>
      <c r="N451">
        <v>24.66</v>
      </c>
      <c r="O451">
        <f>Base_ventes[[#This Row],[BD_2.SELLING PRICE]]*Base_ventes[[#This Row],[QUANTITY]]</f>
        <v>345.24</v>
      </c>
      <c r="P451">
        <f>Base_ventes[[#This Row],[BD_2.BUYING PRIZE]]*Base_ventes[[#This Row],[QUANTITY]]</f>
        <v>252</v>
      </c>
      <c r="Q451">
        <f>Base_ventes[[#This Row],[Montant Vendu]]-Base_ventes[[#This Row],[Montant Acheté]]</f>
        <v>93.240000000000009</v>
      </c>
    </row>
    <row r="452" spans="1:17" x14ac:dyDescent="0.3">
      <c r="A452" s="1">
        <v>44823</v>
      </c>
      <c r="B452">
        <f>YEAR(Base_ventes[[#This Row],[DATE]])</f>
        <v>2022</v>
      </c>
      <c r="C452">
        <f>MONTH(Base_ventes[[#This Row],[DATE]])</f>
        <v>9</v>
      </c>
      <c r="D45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52" t="s">
        <v>92</v>
      </c>
      <c r="F452">
        <v>8</v>
      </c>
      <c r="G452" t="s">
        <v>81</v>
      </c>
      <c r="H452" t="s">
        <v>84</v>
      </c>
      <c r="I452">
        <v>12</v>
      </c>
      <c r="J452" t="s">
        <v>93</v>
      </c>
      <c r="K452" t="s">
        <v>60</v>
      </c>
      <c r="L452" t="s">
        <v>4</v>
      </c>
      <c r="M452">
        <v>95</v>
      </c>
      <c r="N452">
        <v>119.7</v>
      </c>
      <c r="O452">
        <f>Base_ventes[[#This Row],[BD_2.SELLING PRICE]]*Base_ventes[[#This Row],[QUANTITY]]</f>
        <v>957.6</v>
      </c>
      <c r="P452">
        <f>Base_ventes[[#This Row],[BD_2.BUYING PRIZE]]*Base_ventes[[#This Row],[QUANTITY]]</f>
        <v>760</v>
      </c>
      <c r="Q452">
        <f>Base_ventes[[#This Row],[Montant Vendu]]-Base_ventes[[#This Row],[Montant Acheté]]</f>
        <v>197.60000000000002</v>
      </c>
    </row>
    <row r="453" spans="1:17" x14ac:dyDescent="0.3">
      <c r="A453" s="1">
        <v>44824</v>
      </c>
      <c r="B453">
        <f>YEAR(Base_ventes[[#This Row],[DATE]])</f>
        <v>2022</v>
      </c>
      <c r="C453">
        <f>MONTH(Base_ventes[[#This Row],[DATE]])</f>
        <v>9</v>
      </c>
      <c r="D45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53" t="s">
        <v>92</v>
      </c>
      <c r="F453">
        <v>6</v>
      </c>
      <c r="G453" t="s">
        <v>87</v>
      </c>
      <c r="H453" t="s">
        <v>82</v>
      </c>
      <c r="I453">
        <v>29</v>
      </c>
      <c r="J453" t="s">
        <v>93</v>
      </c>
      <c r="K453" t="s">
        <v>60</v>
      </c>
      <c r="L453" t="s">
        <v>4</v>
      </c>
      <c r="M453">
        <v>95</v>
      </c>
      <c r="N453">
        <v>119.7</v>
      </c>
      <c r="O453">
        <f>Base_ventes[[#This Row],[BD_2.SELLING PRICE]]*Base_ventes[[#This Row],[QUANTITY]]</f>
        <v>718.2</v>
      </c>
      <c r="P453">
        <f>Base_ventes[[#This Row],[BD_2.BUYING PRIZE]]*Base_ventes[[#This Row],[QUANTITY]]</f>
        <v>570</v>
      </c>
      <c r="Q453">
        <f>Base_ventes[[#This Row],[Montant Vendu]]-Base_ventes[[#This Row],[Montant Acheté]]</f>
        <v>148.20000000000005</v>
      </c>
    </row>
    <row r="454" spans="1:17" x14ac:dyDescent="0.3">
      <c r="A454" s="1">
        <v>44824</v>
      </c>
      <c r="B454">
        <f>YEAR(Base_ventes[[#This Row],[DATE]])</f>
        <v>2022</v>
      </c>
      <c r="C454">
        <f>MONTH(Base_ventes[[#This Row],[DATE]])</f>
        <v>9</v>
      </c>
      <c r="D45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54" t="s">
        <v>1</v>
      </c>
      <c r="F454">
        <v>10</v>
      </c>
      <c r="G454" t="s">
        <v>87</v>
      </c>
      <c r="H454" t="s">
        <v>82</v>
      </c>
      <c r="I454">
        <v>59</v>
      </c>
      <c r="J454" t="s">
        <v>2</v>
      </c>
      <c r="K454" t="s">
        <v>3</v>
      </c>
      <c r="L454" t="s">
        <v>4</v>
      </c>
      <c r="M454">
        <v>98</v>
      </c>
      <c r="N454">
        <v>103.88</v>
      </c>
      <c r="O454">
        <f>Base_ventes[[#This Row],[BD_2.SELLING PRICE]]*Base_ventes[[#This Row],[QUANTITY]]</f>
        <v>1038.8</v>
      </c>
      <c r="P454">
        <f>Base_ventes[[#This Row],[BD_2.BUYING PRIZE]]*Base_ventes[[#This Row],[QUANTITY]]</f>
        <v>980</v>
      </c>
      <c r="Q454">
        <f>Base_ventes[[#This Row],[Montant Vendu]]-Base_ventes[[#This Row],[Montant Acheté]]</f>
        <v>58.799999999999955</v>
      </c>
    </row>
    <row r="455" spans="1:17" x14ac:dyDescent="0.3">
      <c r="A455" s="1">
        <v>44825</v>
      </c>
      <c r="B455">
        <f>YEAR(Base_ventes[[#This Row],[DATE]])</f>
        <v>2022</v>
      </c>
      <c r="C455">
        <f>MONTH(Base_ventes[[#This Row],[DATE]])</f>
        <v>9</v>
      </c>
      <c r="D45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55" t="s">
        <v>41</v>
      </c>
      <c r="F455">
        <v>14</v>
      </c>
      <c r="G455" t="s">
        <v>82</v>
      </c>
      <c r="H455" t="s">
        <v>82</v>
      </c>
      <c r="I455">
        <v>78</v>
      </c>
      <c r="J455" t="s">
        <v>42</v>
      </c>
      <c r="K455" t="s">
        <v>26</v>
      </c>
      <c r="L455" t="s">
        <v>23</v>
      </c>
      <c r="M455">
        <v>37</v>
      </c>
      <c r="N455">
        <v>49.21</v>
      </c>
      <c r="O455">
        <f>Base_ventes[[#This Row],[BD_2.SELLING PRICE]]*Base_ventes[[#This Row],[QUANTITY]]</f>
        <v>688.94</v>
      </c>
      <c r="P455">
        <f>Base_ventes[[#This Row],[BD_2.BUYING PRIZE]]*Base_ventes[[#This Row],[QUANTITY]]</f>
        <v>518</v>
      </c>
      <c r="Q455">
        <f>Base_ventes[[#This Row],[Montant Vendu]]-Base_ventes[[#This Row],[Montant Acheté]]</f>
        <v>170.94000000000005</v>
      </c>
    </row>
    <row r="456" spans="1:17" x14ac:dyDescent="0.3">
      <c r="A456" s="1">
        <v>44825</v>
      </c>
      <c r="B456">
        <f>YEAR(Base_ventes[[#This Row],[DATE]])</f>
        <v>2022</v>
      </c>
      <c r="C456">
        <f>MONTH(Base_ventes[[#This Row],[DATE]])</f>
        <v>9</v>
      </c>
      <c r="D45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56" t="s">
        <v>58</v>
      </c>
      <c r="F456">
        <v>5</v>
      </c>
      <c r="G456" t="s">
        <v>87</v>
      </c>
      <c r="H456" t="s">
        <v>84</v>
      </c>
      <c r="I456">
        <v>88</v>
      </c>
      <c r="J456" t="s">
        <v>59</v>
      </c>
      <c r="K456" t="s">
        <v>60</v>
      </c>
      <c r="L456" t="s">
        <v>23</v>
      </c>
      <c r="M456">
        <v>18</v>
      </c>
      <c r="N456">
        <v>24.66</v>
      </c>
      <c r="O456">
        <f>Base_ventes[[#This Row],[BD_2.SELLING PRICE]]*Base_ventes[[#This Row],[QUANTITY]]</f>
        <v>123.3</v>
      </c>
      <c r="P456">
        <f>Base_ventes[[#This Row],[BD_2.BUYING PRIZE]]*Base_ventes[[#This Row],[QUANTITY]]</f>
        <v>90</v>
      </c>
      <c r="Q456">
        <f>Base_ventes[[#This Row],[Montant Vendu]]-Base_ventes[[#This Row],[Montant Acheté]]</f>
        <v>33.299999999999997</v>
      </c>
    </row>
    <row r="457" spans="1:17" x14ac:dyDescent="0.3">
      <c r="A457" s="1">
        <v>44826</v>
      </c>
      <c r="B457">
        <f>YEAR(Base_ventes[[#This Row],[DATE]])</f>
        <v>2022</v>
      </c>
      <c r="C457">
        <f>MONTH(Base_ventes[[#This Row],[DATE]])</f>
        <v>9</v>
      </c>
      <c r="D45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57" t="s">
        <v>108</v>
      </c>
      <c r="F457">
        <v>12</v>
      </c>
      <c r="G457" t="s">
        <v>82</v>
      </c>
      <c r="H457" t="s">
        <v>82</v>
      </c>
      <c r="I457">
        <v>11</v>
      </c>
      <c r="J457" t="s">
        <v>109</v>
      </c>
      <c r="K457" t="s">
        <v>86</v>
      </c>
      <c r="L457" t="s">
        <v>4</v>
      </c>
      <c r="M457">
        <v>67</v>
      </c>
      <c r="N457">
        <v>83.08</v>
      </c>
      <c r="O457">
        <f>Base_ventes[[#This Row],[BD_2.SELLING PRICE]]*Base_ventes[[#This Row],[QUANTITY]]</f>
        <v>996.96</v>
      </c>
      <c r="P457">
        <f>Base_ventes[[#This Row],[BD_2.BUYING PRIZE]]*Base_ventes[[#This Row],[QUANTITY]]</f>
        <v>804</v>
      </c>
      <c r="Q457">
        <f>Base_ventes[[#This Row],[Montant Vendu]]-Base_ventes[[#This Row],[Montant Acheté]]</f>
        <v>192.96000000000004</v>
      </c>
    </row>
    <row r="458" spans="1:17" x14ac:dyDescent="0.3">
      <c r="A458" s="1">
        <v>44827</v>
      </c>
      <c r="B458">
        <f>YEAR(Base_ventes[[#This Row],[DATE]])</f>
        <v>2022</v>
      </c>
      <c r="C458">
        <f>MONTH(Base_ventes[[#This Row],[DATE]])</f>
        <v>9</v>
      </c>
      <c r="D45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58" t="s">
        <v>29</v>
      </c>
      <c r="F458">
        <v>12</v>
      </c>
      <c r="G458" t="s">
        <v>87</v>
      </c>
      <c r="H458" t="s">
        <v>82</v>
      </c>
      <c r="I458">
        <v>85</v>
      </c>
      <c r="J458" t="s">
        <v>30</v>
      </c>
      <c r="K458" t="s">
        <v>26</v>
      </c>
      <c r="L458" t="s">
        <v>4</v>
      </c>
      <c r="M458">
        <v>73</v>
      </c>
      <c r="N458">
        <v>94.17</v>
      </c>
      <c r="O458">
        <f>Base_ventes[[#This Row],[BD_2.SELLING PRICE]]*Base_ventes[[#This Row],[QUANTITY]]</f>
        <v>1130.04</v>
      </c>
      <c r="P458">
        <f>Base_ventes[[#This Row],[BD_2.BUYING PRIZE]]*Base_ventes[[#This Row],[QUANTITY]]</f>
        <v>876</v>
      </c>
      <c r="Q458">
        <f>Base_ventes[[#This Row],[Montant Vendu]]-Base_ventes[[#This Row],[Montant Acheté]]</f>
        <v>254.03999999999996</v>
      </c>
    </row>
    <row r="459" spans="1:17" x14ac:dyDescent="0.3">
      <c r="A459" s="1">
        <v>44828</v>
      </c>
      <c r="B459">
        <f>YEAR(Base_ventes[[#This Row],[DATE]])</f>
        <v>2022</v>
      </c>
      <c r="C459">
        <f>MONTH(Base_ventes[[#This Row],[DATE]])</f>
        <v>9</v>
      </c>
      <c r="D45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59" t="s">
        <v>90</v>
      </c>
      <c r="F459">
        <v>14</v>
      </c>
      <c r="G459" t="s">
        <v>87</v>
      </c>
      <c r="H459" t="s">
        <v>82</v>
      </c>
      <c r="I459">
        <v>20</v>
      </c>
      <c r="J459" t="s">
        <v>91</v>
      </c>
      <c r="K459" t="s">
        <v>60</v>
      </c>
      <c r="L459" t="s">
        <v>4</v>
      </c>
      <c r="M459">
        <v>89</v>
      </c>
      <c r="N459">
        <v>117.48</v>
      </c>
      <c r="O459">
        <f>Base_ventes[[#This Row],[BD_2.SELLING PRICE]]*Base_ventes[[#This Row],[QUANTITY]]</f>
        <v>1644.72</v>
      </c>
      <c r="P459">
        <f>Base_ventes[[#This Row],[BD_2.BUYING PRIZE]]*Base_ventes[[#This Row],[QUANTITY]]</f>
        <v>1246</v>
      </c>
      <c r="Q459">
        <f>Base_ventes[[#This Row],[Montant Vendu]]-Base_ventes[[#This Row],[Montant Acheté]]</f>
        <v>398.72</v>
      </c>
    </row>
    <row r="460" spans="1:17" x14ac:dyDescent="0.3">
      <c r="A460" s="1">
        <v>44828</v>
      </c>
      <c r="B460">
        <f>YEAR(Base_ventes[[#This Row],[DATE]])</f>
        <v>2022</v>
      </c>
      <c r="C460">
        <f>MONTH(Base_ventes[[#This Row],[DATE]])</f>
        <v>9</v>
      </c>
      <c r="D46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60" t="s">
        <v>90</v>
      </c>
      <c r="F460">
        <v>8</v>
      </c>
      <c r="G460" t="s">
        <v>87</v>
      </c>
      <c r="H460" t="s">
        <v>84</v>
      </c>
      <c r="I460">
        <v>4</v>
      </c>
      <c r="J460" t="s">
        <v>91</v>
      </c>
      <c r="K460" t="s">
        <v>60</v>
      </c>
      <c r="L460" t="s">
        <v>4</v>
      </c>
      <c r="M460">
        <v>89</v>
      </c>
      <c r="N460">
        <v>117.48</v>
      </c>
      <c r="O460">
        <f>Base_ventes[[#This Row],[BD_2.SELLING PRICE]]*Base_ventes[[#This Row],[QUANTITY]]</f>
        <v>939.84</v>
      </c>
      <c r="P460">
        <f>Base_ventes[[#This Row],[BD_2.BUYING PRIZE]]*Base_ventes[[#This Row],[QUANTITY]]</f>
        <v>712</v>
      </c>
      <c r="Q460">
        <f>Base_ventes[[#This Row],[Montant Vendu]]-Base_ventes[[#This Row],[Montant Acheté]]</f>
        <v>227.84000000000003</v>
      </c>
    </row>
    <row r="461" spans="1:17" x14ac:dyDescent="0.3">
      <c r="A461" s="1">
        <v>44831</v>
      </c>
      <c r="B461">
        <f>YEAR(Base_ventes[[#This Row],[DATE]])</f>
        <v>2022</v>
      </c>
      <c r="C461">
        <f>MONTH(Base_ventes[[#This Row],[DATE]])</f>
        <v>9</v>
      </c>
      <c r="D46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61" t="s">
        <v>96</v>
      </c>
      <c r="F461">
        <v>4</v>
      </c>
      <c r="G461" t="s">
        <v>87</v>
      </c>
      <c r="H461" t="s">
        <v>84</v>
      </c>
      <c r="I461">
        <v>5</v>
      </c>
      <c r="J461" t="s">
        <v>97</v>
      </c>
      <c r="K461" t="s">
        <v>60</v>
      </c>
      <c r="L461" t="s">
        <v>4</v>
      </c>
      <c r="M461">
        <v>90</v>
      </c>
      <c r="N461">
        <v>96.3</v>
      </c>
      <c r="O461">
        <f>Base_ventes[[#This Row],[BD_2.SELLING PRICE]]*Base_ventes[[#This Row],[QUANTITY]]</f>
        <v>385.2</v>
      </c>
      <c r="P461">
        <f>Base_ventes[[#This Row],[BD_2.BUYING PRIZE]]*Base_ventes[[#This Row],[QUANTITY]]</f>
        <v>360</v>
      </c>
      <c r="Q461">
        <f>Base_ventes[[#This Row],[Montant Vendu]]-Base_ventes[[#This Row],[Montant Acheté]]</f>
        <v>25.199999999999989</v>
      </c>
    </row>
    <row r="462" spans="1:17" x14ac:dyDescent="0.3">
      <c r="A462" s="1">
        <v>44831</v>
      </c>
      <c r="B462">
        <f>YEAR(Base_ventes[[#This Row],[DATE]])</f>
        <v>2022</v>
      </c>
      <c r="C462">
        <f>MONTH(Base_ventes[[#This Row],[DATE]])</f>
        <v>9</v>
      </c>
      <c r="D46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62" t="s">
        <v>110</v>
      </c>
      <c r="F462">
        <v>9</v>
      </c>
      <c r="G462" t="s">
        <v>87</v>
      </c>
      <c r="H462" t="s">
        <v>84</v>
      </c>
      <c r="I462">
        <v>73</v>
      </c>
      <c r="J462" t="s">
        <v>111</v>
      </c>
      <c r="K462" t="s">
        <v>86</v>
      </c>
      <c r="L462" t="s">
        <v>4</v>
      </c>
      <c r="M462">
        <v>76</v>
      </c>
      <c r="N462">
        <v>82.08</v>
      </c>
      <c r="O462">
        <f>Base_ventes[[#This Row],[BD_2.SELLING PRICE]]*Base_ventes[[#This Row],[QUANTITY]]</f>
        <v>738.72</v>
      </c>
      <c r="P462">
        <f>Base_ventes[[#This Row],[BD_2.BUYING PRIZE]]*Base_ventes[[#This Row],[QUANTITY]]</f>
        <v>684</v>
      </c>
      <c r="Q462">
        <f>Base_ventes[[#This Row],[Montant Vendu]]-Base_ventes[[#This Row],[Montant Acheté]]</f>
        <v>54.720000000000027</v>
      </c>
    </row>
    <row r="463" spans="1:17" x14ac:dyDescent="0.3">
      <c r="A463" s="1">
        <v>44831</v>
      </c>
      <c r="B463">
        <f>YEAR(Base_ventes[[#This Row],[DATE]])</f>
        <v>2022</v>
      </c>
      <c r="C463">
        <f>MONTH(Base_ventes[[#This Row],[DATE]])</f>
        <v>9</v>
      </c>
      <c r="D46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63" t="s">
        <v>83</v>
      </c>
      <c r="F463">
        <v>3</v>
      </c>
      <c r="G463" t="s">
        <v>81</v>
      </c>
      <c r="H463" t="s">
        <v>84</v>
      </c>
      <c r="I463">
        <v>74</v>
      </c>
      <c r="J463" t="s">
        <v>85</v>
      </c>
      <c r="K463" t="s">
        <v>86</v>
      </c>
      <c r="L463" t="s">
        <v>4</v>
      </c>
      <c r="M463">
        <v>72</v>
      </c>
      <c r="N463">
        <v>79.92</v>
      </c>
      <c r="O463">
        <f>Base_ventes[[#This Row],[BD_2.SELLING PRICE]]*Base_ventes[[#This Row],[QUANTITY]]</f>
        <v>239.76</v>
      </c>
      <c r="P463">
        <f>Base_ventes[[#This Row],[BD_2.BUYING PRIZE]]*Base_ventes[[#This Row],[QUANTITY]]</f>
        <v>216</v>
      </c>
      <c r="Q463">
        <f>Base_ventes[[#This Row],[Montant Vendu]]-Base_ventes[[#This Row],[Montant Acheté]]</f>
        <v>23.759999999999991</v>
      </c>
    </row>
    <row r="464" spans="1:17" x14ac:dyDescent="0.3">
      <c r="A464" s="1">
        <v>44833</v>
      </c>
      <c r="B464">
        <f>YEAR(Base_ventes[[#This Row],[DATE]])</f>
        <v>2022</v>
      </c>
      <c r="C464">
        <f>MONTH(Base_ventes[[#This Row],[DATE]])</f>
        <v>9</v>
      </c>
      <c r="D46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Septembre</v>
      </c>
      <c r="E464" t="s">
        <v>94</v>
      </c>
      <c r="F464">
        <v>13</v>
      </c>
      <c r="G464" t="s">
        <v>87</v>
      </c>
      <c r="H464" t="s">
        <v>82</v>
      </c>
      <c r="I464">
        <v>65</v>
      </c>
      <c r="J464" t="s">
        <v>95</v>
      </c>
      <c r="K464" t="s">
        <v>60</v>
      </c>
      <c r="L464" t="s">
        <v>11</v>
      </c>
      <c r="M464">
        <v>55</v>
      </c>
      <c r="N464">
        <v>58.3</v>
      </c>
      <c r="O464">
        <f>Base_ventes[[#This Row],[BD_2.SELLING PRICE]]*Base_ventes[[#This Row],[QUANTITY]]</f>
        <v>757.9</v>
      </c>
      <c r="P464">
        <f>Base_ventes[[#This Row],[BD_2.BUYING PRIZE]]*Base_ventes[[#This Row],[QUANTITY]]</f>
        <v>715</v>
      </c>
      <c r="Q464">
        <f>Base_ventes[[#This Row],[Montant Vendu]]-Base_ventes[[#This Row],[Montant Acheté]]</f>
        <v>42.899999999999977</v>
      </c>
    </row>
    <row r="465" spans="1:17" x14ac:dyDescent="0.3">
      <c r="A465" s="1">
        <v>44837</v>
      </c>
      <c r="B465">
        <f>YEAR(Base_ventes[[#This Row],[DATE]])</f>
        <v>2022</v>
      </c>
      <c r="C465">
        <f>MONTH(Base_ventes[[#This Row],[DATE]])</f>
        <v>10</v>
      </c>
      <c r="D46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465" t="s">
        <v>27</v>
      </c>
      <c r="F465">
        <v>5</v>
      </c>
      <c r="G465" t="s">
        <v>87</v>
      </c>
      <c r="H465" t="s">
        <v>84</v>
      </c>
      <c r="I465">
        <v>22</v>
      </c>
      <c r="J465" t="s">
        <v>28</v>
      </c>
      <c r="K465" t="s">
        <v>26</v>
      </c>
      <c r="L465" t="s">
        <v>11</v>
      </c>
      <c r="M465">
        <v>44</v>
      </c>
      <c r="N465">
        <v>48.4</v>
      </c>
      <c r="O465">
        <f>Base_ventes[[#This Row],[BD_2.SELLING PRICE]]*Base_ventes[[#This Row],[QUANTITY]]</f>
        <v>242</v>
      </c>
      <c r="P465">
        <f>Base_ventes[[#This Row],[BD_2.BUYING PRIZE]]*Base_ventes[[#This Row],[QUANTITY]]</f>
        <v>220</v>
      </c>
      <c r="Q465">
        <f>Base_ventes[[#This Row],[Montant Vendu]]-Base_ventes[[#This Row],[Montant Acheté]]</f>
        <v>22</v>
      </c>
    </row>
    <row r="466" spans="1:17" x14ac:dyDescent="0.3">
      <c r="A466" s="1">
        <v>44838</v>
      </c>
      <c r="B466">
        <f>YEAR(Base_ventes[[#This Row],[DATE]])</f>
        <v>2022</v>
      </c>
      <c r="C466">
        <f>MONTH(Base_ventes[[#This Row],[DATE]])</f>
        <v>10</v>
      </c>
      <c r="D46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466" t="s">
        <v>17</v>
      </c>
      <c r="F466">
        <v>15</v>
      </c>
      <c r="G466" t="s">
        <v>87</v>
      </c>
      <c r="H466" t="s">
        <v>82</v>
      </c>
      <c r="I466">
        <v>36</v>
      </c>
      <c r="J466" t="s">
        <v>18</v>
      </c>
      <c r="K466" t="s">
        <v>3</v>
      </c>
      <c r="L466" t="s">
        <v>11</v>
      </c>
      <c r="M466">
        <v>43</v>
      </c>
      <c r="N466">
        <v>47.730000000000004</v>
      </c>
      <c r="O466">
        <f>Base_ventes[[#This Row],[BD_2.SELLING PRICE]]*Base_ventes[[#This Row],[QUANTITY]]</f>
        <v>715.95</v>
      </c>
      <c r="P466">
        <f>Base_ventes[[#This Row],[BD_2.BUYING PRIZE]]*Base_ventes[[#This Row],[QUANTITY]]</f>
        <v>645</v>
      </c>
      <c r="Q466">
        <f>Base_ventes[[#This Row],[Montant Vendu]]-Base_ventes[[#This Row],[Montant Acheté]]</f>
        <v>70.950000000000045</v>
      </c>
    </row>
    <row r="467" spans="1:17" x14ac:dyDescent="0.3">
      <c r="A467" s="1">
        <v>44840</v>
      </c>
      <c r="B467">
        <f>YEAR(Base_ventes[[#This Row],[DATE]])</f>
        <v>2022</v>
      </c>
      <c r="C467">
        <f>MONTH(Base_ventes[[#This Row],[DATE]])</f>
        <v>10</v>
      </c>
      <c r="D46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467" t="s">
        <v>88</v>
      </c>
      <c r="F467">
        <v>1</v>
      </c>
      <c r="G467" t="s">
        <v>87</v>
      </c>
      <c r="H467" t="s">
        <v>82</v>
      </c>
      <c r="I467">
        <v>66</v>
      </c>
      <c r="J467" t="s">
        <v>89</v>
      </c>
      <c r="K467" t="s">
        <v>60</v>
      </c>
      <c r="L467" t="s">
        <v>23</v>
      </c>
      <c r="M467">
        <v>5</v>
      </c>
      <c r="N467">
        <v>6.7</v>
      </c>
      <c r="O467">
        <f>Base_ventes[[#This Row],[BD_2.SELLING PRICE]]*Base_ventes[[#This Row],[QUANTITY]]</f>
        <v>6.7</v>
      </c>
      <c r="P467">
        <f>Base_ventes[[#This Row],[BD_2.BUYING PRIZE]]*Base_ventes[[#This Row],[QUANTITY]]</f>
        <v>5</v>
      </c>
      <c r="Q467">
        <f>Base_ventes[[#This Row],[Montant Vendu]]-Base_ventes[[#This Row],[Montant Acheté]]</f>
        <v>1.7000000000000002</v>
      </c>
    </row>
    <row r="468" spans="1:17" x14ac:dyDescent="0.3">
      <c r="A468" s="1">
        <v>44843</v>
      </c>
      <c r="B468">
        <f>YEAR(Base_ventes[[#This Row],[DATE]])</f>
        <v>2022</v>
      </c>
      <c r="C468">
        <f>MONTH(Base_ventes[[#This Row],[DATE]])</f>
        <v>10</v>
      </c>
      <c r="D46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468" t="s">
        <v>83</v>
      </c>
      <c r="F468">
        <v>14</v>
      </c>
      <c r="G468" t="s">
        <v>82</v>
      </c>
      <c r="H468" t="s">
        <v>82</v>
      </c>
      <c r="I468">
        <v>46</v>
      </c>
      <c r="J468" t="s">
        <v>85</v>
      </c>
      <c r="K468" t="s">
        <v>86</v>
      </c>
      <c r="L468" t="s">
        <v>4</v>
      </c>
      <c r="M468">
        <v>72</v>
      </c>
      <c r="N468">
        <v>79.92</v>
      </c>
      <c r="O468">
        <f>Base_ventes[[#This Row],[BD_2.SELLING PRICE]]*Base_ventes[[#This Row],[QUANTITY]]</f>
        <v>1118.8800000000001</v>
      </c>
      <c r="P468">
        <f>Base_ventes[[#This Row],[BD_2.BUYING PRIZE]]*Base_ventes[[#This Row],[QUANTITY]]</f>
        <v>1008</v>
      </c>
      <c r="Q468">
        <f>Base_ventes[[#This Row],[Montant Vendu]]-Base_ventes[[#This Row],[Montant Acheté]]</f>
        <v>110.88000000000011</v>
      </c>
    </row>
    <row r="469" spans="1:17" x14ac:dyDescent="0.3">
      <c r="A469" s="1">
        <v>44844</v>
      </c>
      <c r="B469">
        <f>YEAR(Base_ventes[[#This Row],[DATE]])</f>
        <v>2022</v>
      </c>
      <c r="C469">
        <f>MONTH(Base_ventes[[#This Row],[DATE]])</f>
        <v>10</v>
      </c>
      <c r="D46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469" t="s">
        <v>43</v>
      </c>
      <c r="F469">
        <v>9</v>
      </c>
      <c r="G469" t="s">
        <v>87</v>
      </c>
      <c r="H469" t="s">
        <v>82</v>
      </c>
      <c r="I469">
        <v>39</v>
      </c>
      <c r="J469" t="s">
        <v>44</v>
      </c>
      <c r="K469" t="s">
        <v>26</v>
      </c>
      <c r="L469" t="s">
        <v>14</v>
      </c>
      <c r="M469">
        <v>150</v>
      </c>
      <c r="N469">
        <v>210</v>
      </c>
      <c r="O469">
        <f>Base_ventes[[#This Row],[BD_2.SELLING PRICE]]*Base_ventes[[#This Row],[QUANTITY]]</f>
        <v>1890</v>
      </c>
      <c r="P469">
        <f>Base_ventes[[#This Row],[BD_2.BUYING PRIZE]]*Base_ventes[[#This Row],[QUANTITY]]</f>
        <v>1350</v>
      </c>
      <c r="Q469">
        <f>Base_ventes[[#This Row],[Montant Vendu]]-Base_ventes[[#This Row],[Montant Acheté]]</f>
        <v>540</v>
      </c>
    </row>
    <row r="470" spans="1:17" x14ac:dyDescent="0.3">
      <c r="A470" s="1">
        <v>44844</v>
      </c>
      <c r="B470">
        <f>YEAR(Base_ventes[[#This Row],[DATE]])</f>
        <v>2022</v>
      </c>
      <c r="C470">
        <f>MONTH(Base_ventes[[#This Row],[DATE]])</f>
        <v>10</v>
      </c>
      <c r="D47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470" t="s">
        <v>110</v>
      </c>
      <c r="F470">
        <v>12</v>
      </c>
      <c r="G470" t="s">
        <v>82</v>
      </c>
      <c r="H470" t="s">
        <v>82</v>
      </c>
      <c r="I470">
        <v>88</v>
      </c>
      <c r="J470" t="s">
        <v>111</v>
      </c>
      <c r="K470" t="s">
        <v>86</v>
      </c>
      <c r="L470" t="s">
        <v>4</v>
      </c>
      <c r="M470">
        <v>76</v>
      </c>
      <c r="N470">
        <v>82.08</v>
      </c>
      <c r="O470">
        <f>Base_ventes[[#This Row],[BD_2.SELLING PRICE]]*Base_ventes[[#This Row],[QUANTITY]]</f>
        <v>984.96</v>
      </c>
      <c r="P470">
        <f>Base_ventes[[#This Row],[BD_2.BUYING PRIZE]]*Base_ventes[[#This Row],[QUANTITY]]</f>
        <v>912</v>
      </c>
      <c r="Q470">
        <f>Base_ventes[[#This Row],[Montant Vendu]]-Base_ventes[[#This Row],[Montant Acheté]]</f>
        <v>72.960000000000036</v>
      </c>
    </row>
    <row r="471" spans="1:17" x14ac:dyDescent="0.3">
      <c r="A471" s="1">
        <v>44845</v>
      </c>
      <c r="B471">
        <f>YEAR(Base_ventes[[#This Row],[DATE]])</f>
        <v>2022</v>
      </c>
      <c r="C471">
        <f>MONTH(Base_ventes[[#This Row],[DATE]])</f>
        <v>10</v>
      </c>
      <c r="D47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471" t="s">
        <v>19</v>
      </c>
      <c r="F471">
        <v>10</v>
      </c>
      <c r="G471" t="s">
        <v>87</v>
      </c>
      <c r="H471" t="s">
        <v>82</v>
      </c>
      <c r="I471">
        <v>63</v>
      </c>
      <c r="J471" t="s">
        <v>20</v>
      </c>
      <c r="K471" t="s">
        <v>3</v>
      </c>
      <c r="L471" t="s">
        <v>4</v>
      </c>
      <c r="M471">
        <v>83</v>
      </c>
      <c r="N471">
        <v>94.62</v>
      </c>
      <c r="O471">
        <f>Base_ventes[[#This Row],[BD_2.SELLING PRICE]]*Base_ventes[[#This Row],[QUANTITY]]</f>
        <v>946.2</v>
      </c>
      <c r="P471">
        <f>Base_ventes[[#This Row],[BD_2.BUYING PRIZE]]*Base_ventes[[#This Row],[QUANTITY]]</f>
        <v>830</v>
      </c>
      <c r="Q471">
        <f>Base_ventes[[#This Row],[Montant Vendu]]-Base_ventes[[#This Row],[Montant Acheté]]</f>
        <v>116.20000000000005</v>
      </c>
    </row>
    <row r="472" spans="1:17" x14ac:dyDescent="0.3">
      <c r="A472" s="1">
        <v>44847</v>
      </c>
      <c r="B472">
        <f>YEAR(Base_ventes[[#This Row],[DATE]])</f>
        <v>2022</v>
      </c>
      <c r="C472">
        <f>MONTH(Base_ventes[[#This Row],[DATE]])</f>
        <v>10</v>
      </c>
      <c r="D47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472" t="s">
        <v>5</v>
      </c>
      <c r="F472">
        <v>15</v>
      </c>
      <c r="G472" t="s">
        <v>82</v>
      </c>
      <c r="H472" t="s">
        <v>82</v>
      </c>
      <c r="I472">
        <v>34</v>
      </c>
      <c r="J472" t="s">
        <v>6</v>
      </c>
      <c r="K472" t="s">
        <v>3</v>
      </c>
      <c r="L472" t="s">
        <v>4</v>
      </c>
      <c r="M472">
        <v>105</v>
      </c>
      <c r="N472">
        <v>142.80000000000001</v>
      </c>
      <c r="O472">
        <f>Base_ventes[[#This Row],[BD_2.SELLING PRICE]]*Base_ventes[[#This Row],[QUANTITY]]</f>
        <v>2142</v>
      </c>
      <c r="P472">
        <f>Base_ventes[[#This Row],[BD_2.BUYING PRIZE]]*Base_ventes[[#This Row],[QUANTITY]]</f>
        <v>1575</v>
      </c>
      <c r="Q472">
        <f>Base_ventes[[#This Row],[Montant Vendu]]-Base_ventes[[#This Row],[Montant Acheté]]</f>
        <v>567</v>
      </c>
    </row>
    <row r="473" spans="1:17" x14ac:dyDescent="0.3">
      <c r="A473" s="1">
        <v>44848</v>
      </c>
      <c r="B473">
        <f>YEAR(Base_ventes[[#This Row],[DATE]])</f>
        <v>2022</v>
      </c>
      <c r="C473">
        <f>MONTH(Base_ventes[[#This Row],[DATE]])</f>
        <v>10</v>
      </c>
      <c r="D47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473" t="s">
        <v>110</v>
      </c>
      <c r="F473">
        <v>15</v>
      </c>
      <c r="G473" t="s">
        <v>81</v>
      </c>
      <c r="H473" t="s">
        <v>82</v>
      </c>
      <c r="I473">
        <v>53</v>
      </c>
      <c r="J473" t="s">
        <v>111</v>
      </c>
      <c r="K473" t="s">
        <v>86</v>
      </c>
      <c r="L473" t="s">
        <v>4</v>
      </c>
      <c r="M473">
        <v>76</v>
      </c>
      <c r="N473">
        <v>82.08</v>
      </c>
      <c r="O473">
        <f>Base_ventes[[#This Row],[BD_2.SELLING PRICE]]*Base_ventes[[#This Row],[QUANTITY]]</f>
        <v>1231.2</v>
      </c>
      <c r="P473">
        <f>Base_ventes[[#This Row],[BD_2.BUYING PRIZE]]*Base_ventes[[#This Row],[QUANTITY]]</f>
        <v>1140</v>
      </c>
      <c r="Q473">
        <f>Base_ventes[[#This Row],[Montant Vendu]]-Base_ventes[[#This Row],[Montant Acheté]]</f>
        <v>91.200000000000045</v>
      </c>
    </row>
    <row r="474" spans="1:17" x14ac:dyDescent="0.3">
      <c r="A474" s="1">
        <v>44849</v>
      </c>
      <c r="B474">
        <f>YEAR(Base_ventes[[#This Row],[DATE]])</f>
        <v>2022</v>
      </c>
      <c r="C474">
        <f>MONTH(Base_ventes[[#This Row],[DATE]])</f>
        <v>10</v>
      </c>
      <c r="D47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474" t="s">
        <v>35</v>
      </c>
      <c r="F474">
        <v>10</v>
      </c>
      <c r="G474" t="s">
        <v>87</v>
      </c>
      <c r="H474" t="s">
        <v>84</v>
      </c>
      <c r="I474">
        <v>24</v>
      </c>
      <c r="J474" t="s">
        <v>36</v>
      </c>
      <c r="K474" t="s">
        <v>26</v>
      </c>
      <c r="L474" t="s">
        <v>23</v>
      </c>
      <c r="M474">
        <v>12</v>
      </c>
      <c r="N474">
        <v>15.719999999999999</v>
      </c>
      <c r="O474">
        <f>Base_ventes[[#This Row],[BD_2.SELLING PRICE]]*Base_ventes[[#This Row],[QUANTITY]]</f>
        <v>157.19999999999999</v>
      </c>
      <c r="P474">
        <f>Base_ventes[[#This Row],[BD_2.BUYING PRIZE]]*Base_ventes[[#This Row],[QUANTITY]]</f>
        <v>120</v>
      </c>
      <c r="Q474">
        <f>Base_ventes[[#This Row],[Montant Vendu]]-Base_ventes[[#This Row],[Montant Acheté]]</f>
        <v>37.199999999999989</v>
      </c>
    </row>
    <row r="475" spans="1:17" x14ac:dyDescent="0.3">
      <c r="A475" s="1">
        <v>44850</v>
      </c>
      <c r="B475">
        <f>YEAR(Base_ventes[[#This Row],[DATE]])</f>
        <v>2022</v>
      </c>
      <c r="C475">
        <f>MONTH(Base_ventes[[#This Row],[DATE]])</f>
        <v>10</v>
      </c>
      <c r="D47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475" t="s">
        <v>96</v>
      </c>
      <c r="F475">
        <v>3</v>
      </c>
      <c r="G475" t="s">
        <v>82</v>
      </c>
      <c r="H475" t="s">
        <v>82</v>
      </c>
      <c r="I475">
        <v>90</v>
      </c>
      <c r="J475" t="s">
        <v>97</v>
      </c>
      <c r="K475" t="s">
        <v>60</v>
      </c>
      <c r="L475" t="s">
        <v>4</v>
      </c>
      <c r="M475">
        <v>90</v>
      </c>
      <c r="N475">
        <v>96.3</v>
      </c>
      <c r="O475">
        <f>Base_ventes[[#This Row],[BD_2.SELLING PRICE]]*Base_ventes[[#This Row],[QUANTITY]]</f>
        <v>288.89999999999998</v>
      </c>
      <c r="P475">
        <f>Base_ventes[[#This Row],[BD_2.BUYING PRIZE]]*Base_ventes[[#This Row],[QUANTITY]]</f>
        <v>270</v>
      </c>
      <c r="Q475">
        <f>Base_ventes[[#This Row],[Montant Vendu]]-Base_ventes[[#This Row],[Montant Acheté]]</f>
        <v>18.899999999999977</v>
      </c>
    </row>
    <row r="476" spans="1:17" x14ac:dyDescent="0.3">
      <c r="A476" s="1">
        <v>44857</v>
      </c>
      <c r="B476">
        <f>YEAR(Base_ventes[[#This Row],[DATE]])</f>
        <v>2022</v>
      </c>
      <c r="C476">
        <f>MONTH(Base_ventes[[#This Row],[DATE]])</f>
        <v>10</v>
      </c>
      <c r="D47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476" t="s">
        <v>54</v>
      </c>
      <c r="F476">
        <v>14</v>
      </c>
      <c r="G476" t="s">
        <v>82</v>
      </c>
      <c r="H476" t="s">
        <v>84</v>
      </c>
      <c r="I476">
        <v>18</v>
      </c>
      <c r="J476" t="s">
        <v>55</v>
      </c>
      <c r="K476" t="s">
        <v>47</v>
      </c>
      <c r="L476" t="s">
        <v>14</v>
      </c>
      <c r="M476">
        <v>144</v>
      </c>
      <c r="N476">
        <v>156.96</v>
      </c>
      <c r="O476">
        <f>Base_ventes[[#This Row],[BD_2.SELLING PRICE]]*Base_ventes[[#This Row],[QUANTITY]]</f>
        <v>2197.44</v>
      </c>
      <c r="P476">
        <f>Base_ventes[[#This Row],[BD_2.BUYING PRIZE]]*Base_ventes[[#This Row],[QUANTITY]]</f>
        <v>2016</v>
      </c>
      <c r="Q476">
        <f>Base_ventes[[#This Row],[Montant Vendu]]-Base_ventes[[#This Row],[Montant Acheté]]</f>
        <v>181.44000000000005</v>
      </c>
    </row>
    <row r="477" spans="1:17" x14ac:dyDescent="0.3">
      <c r="A477" s="1">
        <v>44864</v>
      </c>
      <c r="B477">
        <f>YEAR(Base_ventes[[#This Row],[DATE]])</f>
        <v>2022</v>
      </c>
      <c r="C477">
        <f>MONTH(Base_ventes[[#This Row],[DATE]])</f>
        <v>10</v>
      </c>
      <c r="D47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477" t="s">
        <v>106</v>
      </c>
      <c r="F477">
        <v>3</v>
      </c>
      <c r="G477" t="s">
        <v>87</v>
      </c>
      <c r="H477" t="s">
        <v>84</v>
      </c>
      <c r="I477">
        <v>58</v>
      </c>
      <c r="J477" t="s">
        <v>107</v>
      </c>
      <c r="K477" t="s">
        <v>86</v>
      </c>
      <c r="L477" t="s">
        <v>14</v>
      </c>
      <c r="M477">
        <v>120</v>
      </c>
      <c r="N477">
        <v>162</v>
      </c>
      <c r="O477">
        <f>Base_ventes[[#This Row],[BD_2.SELLING PRICE]]*Base_ventes[[#This Row],[QUANTITY]]</f>
        <v>486</v>
      </c>
      <c r="P477">
        <f>Base_ventes[[#This Row],[BD_2.BUYING PRIZE]]*Base_ventes[[#This Row],[QUANTITY]]</f>
        <v>360</v>
      </c>
      <c r="Q477">
        <f>Base_ventes[[#This Row],[Montant Vendu]]-Base_ventes[[#This Row],[Montant Acheté]]</f>
        <v>126</v>
      </c>
    </row>
    <row r="478" spans="1:17" x14ac:dyDescent="0.3">
      <c r="A478" s="1">
        <v>44865</v>
      </c>
      <c r="B478">
        <f>YEAR(Base_ventes[[#This Row],[DATE]])</f>
        <v>2022</v>
      </c>
      <c r="C478">
        <f>MONTH(Base_ventes[[#This Row],[DATE]])</f>
        <v>10</v>
      </c>
      <c r="D47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Octobre</v>
      </c>
      <c r="E478" t="s">
        <v>83</v>
      </c>
      <c r="F478">
        <v>8</v>
      </c>
      <c r="G478" t="s">
        <v>87</v>
      </c>
      <c r="H478" t="s">
        <v>82</v>
      </c>
      <c r="I478">
        <v>40</v>
      </c>
      <c r="J478" t="s">
        <v>85</v>
      </c>
      <c r="K478" t="s">
        <v>86</v>
      </c>
      <c r="L478" t="s">
        <v>4</v>
      </c>
      <c r="M478">
        <v>72</v>
      </c>
      <c r="N478">
        <v>79.92</v>
      </c>
      <c r="O478">
        <f>Base_ventes[[#This Row],[BD_2.SELLING PRICE]]*Base_ventes[[#This Row],[QUANTITY]]</f>
        <v>639.36</v>
      </c>
      <c r="P478">
        <f>Base_ventes[[#This Row],[BD_2.BUYING PRIZE]]*Base_ventes[[#This Row],[QUANTITY]]</f>
        <v>576</v>
      </c>
      <c r="Q478">
        <f>Base_ventes[[#This Row],[Montant Vendu]]-Base_ventes[[#This Row],[Montant Acheté]]</f>
        <v>63.360000000000014</v>
      </c>
    </row>
    <row r="479" spans="1:17" x14ac:dyDescent="0.3">
      <c r="A479" s="1">
        <v>44866</v>
      </c>
      <c r="B479">
        <f>YEAR(Base_ventes[[#This Row],[DATE]])</f>
        <v>2022</v>
      </c>
      <c r="C479">
        <f>MONTH(Base_ventes[[#This Row],[DATE]])</f>
        <v>11</v>
      </c>
      <c r="D47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79" t="s">
        <v>29</v>
      </c>
      <c r="F479">
        <v>15</v>
      </c>
      <c r="G479" t="s">
        <v>81</v>
      </c>
      <c r="H479" t="s">
        <v>82</v>
      </c>
      <c r="I479">
        <v>69</v>
      </c>
      <c r="J479" t="s">
        <v>30</v>
      </c>
      <c r="K479" t="s">
        <v>26</v>
      </c>
      <c r="L479" t="s">
        <v>4</v>
      </c>
      <c r="M479">
        <v>73</v>
      </c>
      <c r="N479">
        <v>94.17</v>
      </c>
      <c r="O479">
        <f>Base_ventes[[#This Row],[BD_2.SELLING PRICE]]*Base_ventes[[#This Row],[QUANTITY]]</f>
        <v>1412.55</v>
      </c>
      <c r="P479">
        <f>Base_ventes[[#This Row],[BD_2.BUYING PRIZE]]*Base_ventes[[#This Row],[QUANTITY]]</f>
        <v>1095</v>
      </c>
      <c r="Q479">
        <f>Base_ventes[[#This Row],[Montant Vendu]]-Base_ventes[[#This Row],[Montant Acheté]]</f>
        <v>317.54999999999995</v>
      </c>
    </row>
    <row r="480" spans="1:17" x14ac:dyDescent="0.3">
      <c r="A480" s="1">
        <v>44867</v>
      </c>
      <c r="B480">
        <f>YEAR(Base_ventes[[#This Row],[DATE]])</f>
        <v>2022</v>
      </c>
      <c r="C480">
        <f>MONTH(Base_ventes[[#This Row],[DATE]])</f>
        <v>11</v>
      </c>
      <c r="D48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80" t="s">
        <v>35</v>
      </c>
      <c r="F480">
        <v>15</v>
      </c>
      <c r="G480" t="s">
        <v>81</v>
      </c>
      <c r="H480" t="s">
        <v>84</v>
      </c>
      <c r="I480">
        <v>50</v>
      </c>
      <c r="J480" t="s">
        <v>36</v>
      </c>
      <c r="K480" t="s">
        <v>26</v>
      </c>
      <c r="L480" t="s">
        <v>23</v>
      </c>
      <c r="M480">
        <v>12</v>
      </c>
      <c r="N480">
        <v>15.719999999999999</v>
      </c>
      <c r="O480">
        <f>Base_ventes[[#This Row],[BD_2.SELLING PRICE]]*Base_ventes[[#This Row],[QUANTITY]]</f>
        <v>235.79999999999998</v>
      </c>
      <c r="P480">
        <f>Base_ventes[[#This Row],[BD_2.BUYING PRIZE]]*Base_ventes[[#This Row],[QUANTITY]]</f>
        <v>180</v>
      </c>
      <c r="Q480">
        <f>Base_ventes[[#This Row],[Montant Vendu]]-Base_ventes[[#This Row],[Montant Acheté]]</f>
        <v>55.799999999999983</v>
      </c>
    </row>
    <row r="481" spans="1:17" x14ac:dyDescent="0.3">
      <c r="A481" s="1">
        <v>44867</v>
      </c>
      <c r="B481">
        <f>YEAR(Base_ventes[[#This Row],[DATE]])</f>
        <v>2022</v>
      </c>
      <c r="C481">
        <f>MONTH(Base_ventes[[#This Row],[DATE]])</f>
        <v>11</v>
      </c>
      <c r="D48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81" t="s">
        <v>67</v>
      </c>
      <c r="F481">
        <v>15</v>
      </c>
      <c r="G481" t="s">
        <v>87</v>
      </c>
      <c r="H481" t="s">
        <v>84</v>
      </c>
      <c r="I481">
        <v>39</v>
      </c>
      <c r="J481" t="s">
        <v>68</v>
      </c>
      <c r="K481" t="s">
        <v>60</v>
      </c>
      <c r="L481" t="s">
        <v>14</v>
      </c>
      <c r="M481">
        <v>148</v>
      </c>
      <c r="N481">
        <v>201.28</v>
      </c>
      <c r="O481">
        <f>Base_ventes[[#This Row],[BD_2.SELLING PRICE]]*Base_ventes[[#This Row],[QUANTITY]]</f>
        <v>3019.2</v>
      </c>
      <c r="P481">
        <f>Base_ventes[[#This Row],[BD_2.BUYING PRIZE]]*Base_ventes[[#This Row],[QUANTITY]]</f>
        <v>2220</v>
      </c>
      <c r="Q481">
        <f>Base_ventes[[#This Row],[Montant Vendu]]-Base_ventes[[#This Row],[Montant Acheté]]</f>
        <v>799.19999999999982</v>
      </c>
    </row>
    <row r="482" spans="1:17" x14ac:dyDescent="0.3">
      <c r="A482" s="1">
        <v>44867</v>
      </c>
      <c r="B482">
        <f>YEAR(Base_ventes[[#This Row],[DATE]])</f>
        <v>2022</v>
      </c>
      <c r="C482">
        <f>MONTH(Base_ventes[[#This Row],[DATE]])</f>
        <v>11</v>
      </c>
      <c r="D48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82" t="s">
        <v>88</v>
      </c>
      <c r="F482">
        <v>5</v>
      </c>
      <c r="G482" t="s">
        <v>87</v>
      </c>
      <c r="H482" t="s">
        <v>84</v>
      </c>
      <c r="I482">
        <v>19</v>
      </c>
      <c r="J482" t="s">
        <v>89</v>
      </c>
      <c r="K482" t="s">
        <v>60</v>
      </c>
      <c r="L482" t="s">
        <v>23</v>
      </c>
      <c r="M482">
        <v>5</v>
      </c>
      <c r="N482">
        <v>6.7</v>
      </c>
      <c r="O482">
        <f>Base_ventes[[#This Row],[BD_2.SELLING PRICE]]*Base_ventes[[#This Row],[QUANTITY]]</f>
        <v>33.5</v>
      </c>
      <c r="P482">
        <f>Base_ventes[[#This Row],[BD_2.BUYING PRIZE]]*Base_ventes[[#This Row],[QUANTITY]]</f>
        <v>25</v>
      </c>
      <c r="Q482">
        <f>Base_ventes[[#This Row],[Montant Vendu]]-Base_ventes[[#This Row],[Montant Acheté]]</f>
        <v>8.5</v>
      </c>
    </row>
    <row r="483" spans="1:17" x14ac:dyDescent="0.3">
      <c r="A483" s="1">
        <v>44868</v>
      </c>
      <c r="B483">
        <f>YEAR(Base_ventes[[#This Row],[DATE]])</f>
        <v>2022</v>
      </c>
      <c r="C483">
        <f>MONTH(Base_ventes[[#This Row],[DATE]])</f>
        <v>11</v>
      </c>
      <c r="D48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83" t="s">
        <v>45</v>
      </c>
      <c r="F483">
        <v>11</v>
      </c>
      <c r="G483" t="s">
        <v>82</v>
      </c>
      <c r="H483" t="s">
        <v>82</v>
      </c>
      <c r="I483">
        <v>63</v>
      </c>
      <c r="J483" t="s">
        <v>46</v>
      </c>
      <c r="K483" t="s">
        <v>47</v>
      </c>
      <c r="L483" t="s">
        <v>11</v>
      </c>
      <c r="M483">
        <v>61</v>
      </c>
      <c r="N483">
        <v>76.25</v>
      </c>
      <c r="O483">
        <f>Base_ventes[[#This Row],[BD_2.SELLING PRICE]]*Base_ventes[[#This Row],[QUANTITY]]</f>
        <v>838.75</v>
      </c>
      <c r="P483">
        <f>Base_ventes[[#This Row],[BD_2.BUYING PRIZE]]*Base_ventes[[#This Row],[QUANTITY]]</f>
        <v>671</v>
      </c>
      <c r="Q483">
        <f>Base_ventes[[#This Row],[Montant Vendu]]-Base_ventes[[#This Row],[Montant Acheté]]</f>
        <v>167.75</v>
      </c>
    </row>
    <row r="484" spans="1:17" x14ac:dyDescent="0.3">
      <c r="A484" s="1">
        <v>44869</v>
      </c>
      <c r="B484">
        <f>YEAR(Base_ventes[[#This Row],[DATE]])</f>
        <v>2022</v>
      </c>
      <c r="C484">
        <f>MONTH(Base_ventes[[#This Row],[DATE]])</f>
        <v>11</v>
      </c>
      <c r="D48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84" t="s">
        <v>19</v>
      </c>
      <c r="F484">
        <v>10</v>
      </c>
      <c r="G484" t="s">
        <v>87</v>
      </c>
      <c r="H484" t="s">
        <v>82</v>
      </c>
      <c r="I484">
        <v>84</v>
      </c>
      <c r="J484" t="s">
        <v>20</v>
      </c>
      <c r="K484" t="s">
        <v>3</v>
      </c>
      <c r="L484" t="s">
        <v>4</v>
      </c>
      <c r="M484">
        <v>83</v>
      </c>
      <c r="N484">
        <v>94.62</v>
      </c>
      <c r="O484">
        <f>Base_ventes[[#This Row],[BD_2.SELLING PRICE]]*Base_ventes[[#This Row],[QUANTITY]]</f>
        <v>946.2</v>
      </c>
      <c r="P484">
        <f>Base_ventes[[#This Row],[BD_2.BUYING PRIZE]]*Base_ventes[[#This Row],[QUANTITY]]</f>
        <v>830</v>
      </c>
      <c r="Q484">
        <f>Base_ventes[[#This Row],[Montant Vendu]]-Base_ventes[[#This Row],[Montant Acheté]]</f>
        <v>116.20000000000005</v>
      </c>
    </row>
    <row r="485" spans="1:17" x14ac:dyDescent="0.3">
      <c r="A485" s="1">
        <v>44870</v>
      </c>
      <c r="B485">
        <f>YEAR(Base_ventes[[#This Row],[DATE]])</f>
        <v>2022</v>
      </c>
      <c r="C485">
        <f>MONTH(Base_ventes[[#This Row],[DATE]])</f>
        <v>11</v>
      </c>
      <c r="D48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85" t="s">
        <v>43</v>
      </c>
      <c r="F485">
        <v>15</v>
      </c>
      <c r="G485" t="s">
        <v>87</v>
      </c>
      <c r="H485" t="s">
        <v>84</v>
      </c>
      <c r="I485">
        <v>3</v>
      </c>
      <c r="J485" t="s">
        <v>44</v>
      </c>
      <c r="K485" t="s">
        <v>26</v>
      </c>
      <c r="L485" t="s">
        <v>14</v>
      </c>
      <c r="M485">
        <v>150</v>
      </c>
      <c r="N485">
        <v>210</v>
      </c>
      <c r="O485">
        <f>Base_ventes[[#This Row],[BD_2.SELLING PRICE]]*Base_ventes[[#This Row],[QUANTITY]]</f>
        <v>3150</v>
      </c>
      <c r="P485">
        <f>Base_ventes[[#This Row],[BD_2.BUYING PRIZE]]*Base_ventes[[#This Row],[QUANTITY]]</f>
        <v>2250</v>
      </c>
      <c r="Q485">
        <f>Base_ventes[[#This Row],[Montant Vendu]]-Base_ventes[[#This Row],[Montant Acheté]]</f>
        <v>900</v>
      </c>
    </row>
    <row r="486" spans="1:17" x14ac:dyDescent="0.3">
      <c r="A486" s="1">
        <v>44871</v>
      </c>
      <c r="B486">
        <f>YEAR(Base_ventes[[#This Row],[DATE]])</f>
        <v>2022</v>
      </c>
      <c r="C486">
        <f>MONTH(Base_ventes[[#This Row],[DATE]])</f>
        <v>11</v>
      </c>
      <c r="D48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86" t="s">
        <v>108</v>
      </c>
      <c r="F486">
        <v>13</v>
      </c>
      <c r="G486" t="s">
        <v>87</v>
      </c>
      <c r="H486" t="s">
        <v>84</v>
      </c>
      <c r="I486">
        <v>90</v>
      </c>
      <c r="J486" t="s">
        <v>109</v>
      </c>
      <c r="K486" t="s">
        <v>86</v>
      </c>
      <c r="L486" t="s">
        <v>4</v>
      </c>
      <c r="M486">
        <v>67</v>
      </c>
      <c r="N486">
        <v>83.08</v>
      </c>
      <c r="O486">
        <f>Base_ventes[[#This Row],[BD_2.SELLING PRICE]]*Base_ventes[[#This Row],[QUANTITY]]</f>
        <v>1080.04</v>
      </c>
      <c r="P486">
        <f>Base_ventes[[#This Row],[BD_2.BUYING PRIZE]]*Base_ventes[[#This Row],[QUANTITY]]</f>
        <v>871</v>
      </c>
      <c r="Q486">
        <f>Base_ventes[[#This Row],[Montant Vendu]]-Base_ventes[[#This Row],[Montant Acheté]]</f>
        <v>209.03999999999996</v>
      </c>
    </row>
    <row r="487" spans="1:17" x14ac:dyDescent="0.3">
      <c r="A487" s="1">
        <v>44871</v>
      </c>
      <c r="B487">
        <f>YEAR(Base_ventes[[#This Row],[DATE]])</f>
        <v>2022</v>
      </c>
      <c r="C487">
        <f>MONTH(Base_ventes[[#This Row],[DATE]])</f>
        <v>11</v>
      </c>
      <c r="D48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87" t="s">
        <v>35</v>
      </c>
      <c r="F487">
        <v>13</v>
      </c>
      <c r="G487" t="s">
        <v>82</v>
      </c>
      <c r="H487" t="s">
        <v>82</v>
      </c>
      <c r="I487">
        <v>5</v>
      </c>
      <c r="J487" t="s">
        <v>36</v>
      </c>
      <c r="K487" t="s">
        <v>26</v>
      </c>
      <c r="L487" t="s">
        <v>23</v>
      </c>
      <c r="M487">
        <v>12</v>
      </c>
      <c r="N487">
        <v>15.719999999999999</v>
      </c>
      <c r="O487">
        <f>Base_ventes[[#This Row],[BD_2.SELLING PRICE]]*Base_ventes[[#This Row],[QUANTITY]]</f>
        <v>204.35999999999999</v>
      </c>
      <c r="P487">
        <f>Base_ventes[[#This Row],[BD_2.BUYING PRIZE]]*Base_ventes[[#This Row],[QUANTITY]]</f>
        <v>156</v>
      </c>
      <c r="Q487">
        <f>Base_ventes[[#This Row],[Montant Vendu]]-Base_ventes[[#This Row],[Montant Acheté]]</f>
        <v>48.359999999999985</v>
      </c>
    </row>
    <row r="488" spans="1:17" x14ac:dyDescent="0.3">
      <c r="A488" s="1">
        <v>44871</v>
      </c>
      <c r="B488">
        <f>YEAR(Base_ventes[[#This Row],[DATE]])</f>
        <v>2022</v>
      </c>
      <c r="C488">
        <f>MONTH(Base_ventes[[#This Row],[DATE]])</f>
        <v>11</v>
      </c>
      <c r="D48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88" t="s">
        <v>106</v>
      </c>
      <c r="F488">
        <v>13</v>
      </c>
      <c r="G488" t="s">
        <v>87</v>
      </c>
      <c r="H488" t="s">
        <v>84</v>
      </c>
      <c r="I488">
        <v>8</v>
      </c>
      <c r="J488" t="s">
        <v>107</v>
      </c>
      <c r="K488" t="s">
        <v>86</v>
      </c>
      <c r="L488" t="s">
        <v>14</v>
      </c>
      <c r="M488">
        <v>120</v>
      </c>
      <c r="N488">
        <v>162</v>
      </c>
      <c r="O488">
        <f>Base_ventes[[#This Row],[BD_2.SELLING PRICE]]*Base_ventes[[#This Row],[QUANTITY]]</f>
        <v>2106</v>
      </c>
      <c r="P488">
        <f>Base_ventes[[#This Row],[BD_2.BUYING PRIZE]]*Base_ventes[[#This Row],[QUANTITY]]</f>
        <v>1560</v>
      </c>
      <c r="Q488">
        <f>Base_ventes[[#This Row],[Montant Vendu]]-Base_ventes[[#This Row],[Montant Acheté]]</f>
        <v>546</v>
      </c>
    </row>
    <row r="489" spans="1:17" x14ac:dyDescent="0.3">
      <c r="A489" s="1">
        <v>44872</v>
      </c>
      <c r="B489">
        <f>YEAR(Base_ventes[[#This Row],[DATE]])</f>
        <v>2022</v>
      </c>
      <c r="C489">
        <f>MONTH(Base_ventes[[#This Row],[DATE]])</f>
        <v>11</v>
      </c>
      <c r="D48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89" t="s">
        <v>102</v>
      </c>
      <c r="F489">
        <v>13</v>
      </c>
      <c r="G489" t="s">
        <v>82</v>
      </c>
      <c r="H489" t="s">
        <v>84</v>
      </c>
      <c r="I489">
        <v>38</v>
      </c>
      <c r="J489" t="s">
        <v>103</v>
      </c>
      <c r="K489" t="s">
        <v>86</v>
      </c>
      <c r="L489" t="s">
        <v>4</v>
      </c>
      <c r="M489">
        <v>90</v>
      </c>
      <c r="N489">
        <v>115.2</v>
      </c>
      <c r="O489">
        <f>Base_ventes[[#This Row],[BD_2.SELLING PRICE]]*Base_ventes[[#This Row],[QUANTITY]]</f>
        <v>1497.6000000000001</v>
      </c>
      <c r="P489">
        <f>Base_ventes[[#This Row],[BD_2.BUYING PRIZE]]*Base_ventes[[#This Row],[QUANTITY]]</f>
        <v>1170</v>
      </c>
      <c r="Q489">
        <f>Base_ventes[[#This Row],[Montant Vendu]]-Base_ventes[[#This Row],[Montant Acheté]]</f>
        <v>327.60000000000014</v>
      </c>
    </row>
    <row r="490" spans="1:17" x14ac:dyDescent="0.3">
      <c r="A490" s="1">
        <v>44873</v>
      </c>
      <c r="B490">
        <f>YEAR(Base_ventes[[#This Row],[DATE]])</f>
        <v>2022</v>
      </c>
      <c r="C490">
        <f>MONTH(Base_ventes[[#This Row],[DATE]])</f>
        <v>11</v>
      </c>
      <c r="D49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90" t="s">
        <v>96</v>
      </c>
      <c r="F490">
        <v>11</v>
      </c>
      <c r="G490" t="s">
        <v>81</v>
      </c>
      <c r="H490" t="s">
        <v>84</v>
      </c>
      <c r="I490">
        <v>73</v>
      </c>
      <c r="J490" t="s">
        <v>97</v>
      </c>
      <c r="K490" t="s">
        <v>60</v>
      </c>
      <c r="L490" t="s">
        <v>4</v>
      </c>
      <c r="M490">
        <v>90</v>
      </c>
      <c r="N490">
        <v>96.3</v>
      </c>
      <c r="O490">
        <f>Base_ventes[[#This Row],[BD_2.SELLING PRICE]]*Base_ventes[[#This Row],[QUANTITY]]</f>
        <v>1059.3</v>
      </c>
      <c r="P490">
        <f>Base_ventes[[#This Row],[BD_2.BUYING PRIZE]]*Base_ventes[[#This Row],[QUANTITY]]</f>
        <v>990</v>
      </c>
      <c r="Q490">
        <f>Base_ventes[[#This Row],[Montant Vendu]]-Base_ventes[[#This Row],[Montant Acheté]]</f>
        <v>69.299999999999955</v>
      </c>
    </row>
    <row r="491" spans="1:17" x14ac:dyDescent="0.3">
      <c r="A491" s="1">
        <v>44873</v>
      </c>
      <c r="B491">
        <f>YEAR(Base_ventes[[#This Row],[DATE]])</f>
        <v>2022</v>
      </c>
      <c r="C491">
        <f>MONTH(Base_ventes[[#This Row],[DATE]])</f>
        <v>11</v>
      </c>
      <c r="D49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91" t="s">
        <v>43</v>
      </c>
      <c r="F491">
        <v>10</v>
      </c>
      <c r="G491" t="s">
        <v>81</v>
      </c>
      <c r="H491" t="s">
        <v>82</v>
      </c>
      <c r="I491">
        <v>67</v>
      </c>
      <c r="J491" t="s">
        <v>44</v>
      </c>
      <c r="K491" t="s">
        <v>26</v>
      </c>
      <c r="L491" t="s">
        <v>14</v>
      </c>
      <c r="M491">
        <v>150</v>
      </c>
      <c r="N491">
        <v>210</v>
      </c>
      <c r="O491">
        <f>Base_ventes[[#This Row],[BD_2.SELLING PRICE]]*Base_ventes[[#This Row],[QUANTITY]]</f>
        <v>2100</v>
      </c>
      <c r="P491">
        <f>Base_ventes[[#This Row],[BD_2.BUYING PRIZE]]*Base_ventes[[#This Row],[QUANTITY]]</f>
        <v>1500</v>
      </c>
      <c r="Q491">
        <f>Base_ventes[[#This Row],[Montant Vendu]]-Base_ventes[[#This Row],[Montant Acheté]]</f>
        <v>600</v>
      </c>
    </row>
    <row r="492" spans="1:17" x14ac:dyDescent="0.3">
      <c r="A492" s="1">
        <v>44874</v>
      </c>
      <c r="B492">
        <f>YEAR(Base_ventes[[#This Row],[DATE]])</f>
        <v>2022</v>
      </c>
      <c r="C492">
        <f>MONTH(Base_ventes[[#This Row],[DATE]])</f>
        <v>11</v>
      </c>
      <c r="D49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92" t="s">
        <v>61</v>
      </c>
      <c r="F492">
        <v>8</v>
      </c>
      <c r="G492" t="s">
        <v>82</v>
      </c>
      <c r="H492" t="s">
        <v>84</v>
      </c>
      <c r="I492">
        <v>49</v>
      </c>
      <c r="J492" t="s">
        <v>62</v>
      </c>
      <c r="K492" t="s">
        <v>60</v>
      </c>
      <c r="L492" t="s">
        <v>11</v>
      </c>
      <c r="M492">
        <v>48</v>
      </c>
      <c r="N492">
        <v>57.120000000000005</v>
      </c>
      <c r="O492">
        <f>Base_ventes[[#This Row],[BD_2.SELLING PRICE]]*Base_ventes[[#This Row],[QUANTITY]]</f>
        <v>456.96000000000004</v>
      </c>
      <c r="P492">
        <f>Base_ventes[[#This Row],[BD_2.BUYING PRIZE]]*Base_ventes[[#This Row],[QUANTITY]]</f>
        <v>384</v>
      </c>
      <c r="Q492">
        <f>Base_ventes[[#This Row],[Montant Vendu]]-Base_ventes[[#This Row],[Montant Acheté]]</f>
        <v>72.960000000000036</v>
      </c>
    </row>
    <row r="493" spans="1:17" x14ac:dyDescent="0.3">
      <c r="A493" s="1">
        <v>44875</v>
      </c>
      <c r="B493">
        <f>YEAR(Base_ventes[[#This Row],[DATE]])</f>
        <v>2022</v>
      </c>
      <c r="C493">
        <f>MONTH(Base_ventes[[#This Row],[DATE]])</f>
        <v>11</v>
      </c>
      <c r="D49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93" t="s">
        <v>41</v>
      </c>
      <c r="F493">
        <v>7</v>
      </c>
      <c r="G493" t="s">
        <v>87</v>
      </c>
      <c r="H493" t="s">
        <v>82</v>
      </c>
      <c r="I493">
        <v>68</v>
      </c>
      <c r="J493" t="s">
        <v>42</v>
      </c>
      <c r="K493" t="s">
        <v>26</v>
      </c>
      <c r="L493" t="s">
        <v>23</v>
      </c>
      <c r="M493">
        <v>37</v>
      </c>
      <c r="N493">
        <v>49.21</v>
      </c>
      <c r="O493">
        <f>Base_ventes[[#This Row],[BD_2.SELLING PRICE]]*Base_ventes[[#This Row],[QUANTITY]]</f>
        <v>344.47</v>
      </c>
      <c r="P493">
        <f>Base_ventes[[#This Row],[BD_2.BUYING PRIZE]]*Base_ventes[[#This Row],[QUANTITY]]</f>
        <v>259</v>
      </c>
      <c r="Q493">
        <f>Base_ventes[[#This Row],[Montant Vendu]]-Base_ventes[[#This Row],[Montant Acheté]]</f>
        <v>85.470000000000027</v>
      </c>
    </row>
    <row r="494" spans="1:17" x14ac:dyDescent="0.3">
      <c r="A494" s="1">
        <v>44878</v>
      </c>
      <c r="B494">
        <f>YEAR(Base_ventes[[#This Row],[DATE]])</f>
        <v>2022</v>
      </c>
      <c r="C494">
        <f>MONTH(Base_ventes[[#This Row],[DATE]])</f>
        <v>11</v>
      </c>
      <c r="D49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94" t="s">
        <v>61</v>
      </c>
      <c r="F494">
        <v>10</v>
      </c>
      <c r="G494" t="s">
        <v>81</v>
      </c>
      <c r="H494" t="s">
        <v>84</v>
      </c>
      <c r="I494">
        <v>53</v>
      </c>
      <c r="J494" t="s">
        <v>62</v>
      </c>
      <c r="K494" t="s">
        <v>60</v>
      </c>
      <c r="L494" t="s">
        <v>11</v>
      </c>
      <c r="M494">
        <v>48</v>
      </c>
      <c r="N494">
        <v>57.120000000000005</v>
      </c>
      <c r="O494">
        <f>Base_ventes[[#This Row],[BD_2.SELLING PRICE]]*Base_ventes[[#This Row],[QUANTITY]]</f>
        <v>571.20000000000005</v>
      </c>
      <c r="P494">
        <f>Base_ventes[[#This Row],[BD_2.BUYING PRIZE]]*Base_ventes[[#This Row],[QUANTITY]]</f>
        <v>480</v>
      </c>
      <c r="Q494">
        <f>Base_ventes[[#This Row],[Montant Vendu]]-Base_ventes[[#This Row],[Montant Acheté]]</f>
        <v>91.200000000000045</v>
      </c>
    </row>
    <row r="495" spans="1:17" x14ac:dyDescent="0.3">
      <c r="A495" s="1">
        <v>44879</v>
      </c>
      <c r="B495">
        <f>YEAR(Base_ventes[[#This Row],[DATE]])</f>
        <v>2022</v>
      </c>
      <c r="C495">
        <f>MONTH(Base_ventes[[#This Row],[DATE]])</f>
        <v>11</v>
      </c>
      <c r="D49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95" t="s">
        <v>5</v>
      </c>
      <c r="F495">
        <v>1</v>
      </c>
      <c r="G495" t="s">
        <v>87</v>
      </c>
      <c r="H495" t="s">
        <v>84</v>
      </c>
      <c r="I495">
        <v>5</v>
      </c>
      <c r="J495" t="s">
        <v>6</v>
      </c>
      <c r="K495" t="s">
        <v>3</v>
      </c>
      <c r="L495" t="s">
        <v>4</v>
      </c>
      <c r="M495">
        <v>105</v>
      </c>
      <c r="N495">
        <v>142.80000000000001</v>
      </c>
      <c r="O495">
        <f>Base_ventes[[#This Row],[BD_2.SELLING PRICE]]*Base_ventes[[#This Row],[QUANTITY]]</f>
        <v>142.80000000000001</v>
      </c>
      <c r="P495">
        <f>Base_ventes[[#This Row],[BD_2.BUYING PRIZE]]*Base_ventes[[#This Row],[QUANTITY]]</f>
        <v>105</v>
      </c>
      <c r="Q495">
        <f>Base_ventes[[#This Row],[Montant Vendu]]-Base_ventes[[#This Row],[Montant Acheté]]</f>
        <v>37.800000000000011</v>
      </c>
    </row>
    <row r="496" spans="1:17" x14ac:dyDescent="0.3">
      <c r="A496" s="1">
        <v>44880</v>
      </c>
      <c r="B496">
        <f>YEAR(Base_ventes[[#This Row],[DATE]])</f>
        <v>2022</v>
      </c>
      <c r="C496">
        <f>MONTH(Base_ventes[[#This Row],[DATE]])</f>
        <v>11</v>
      </c>
      <c r="D49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96" t="s">
        <v>29</v>
      </c>
      <c r="F496">
        <v>14</v>
      </c>
      <c r="G496" t="s">
        <v>87</v>
      </c>
      <c r="H496" t="s">
        <v>84</v>
      </c>
      <c r="I496">
        <v>27</v>
      </c>
      <c r="J496" t="s">
        <v>30</v>
      </c>
      <c r="K496" t="s">
        <v>26</v>
      </c>
      <c r="L496" t="s">
        <v>4</v>
      </c>
      <c r="M496">
        <v>73</v>
      </c>
      <c r="N496">
        <v>94.17</v>
      </c>
      <c r="O496">
        <f>Base_ventes[[#This Row],[BD_2.SELLING PRICE]]*Base_ventes[[#This Row],[QUANTITY]]</f>
        <v>1318.38</v>
      </c>
      <c r="P496">
        <f>Base_ventes[[#This Row],[BD_2.BUYING PRIZE]]*Base_ventes[[#This Row],[QUANTITY]]</f>
        <v>1022</v>
      </c>
      <c r="Q496">
        <f>Base_ventes[[#This Row],[Montant Vendu]]-Base_ventes[[#This Row],[Montant Acheté]]</f>
        <v>296.38000000000011</v>
      </c>
    </row>
    <row r="497" spans="1:17" x14ac:dyDescent="0.3">
      <c r="A497" s="1">
        <v>44881</v>
      </c>
      <c r="B497">
        <f>YEAR(Base_ventes[[#This Row],[DATE]])</f>
        <v>2022</v>
      </c>
      <c r="C497">
        <f>MONTH(Base_ventes[[#This Row],[DATE]])</f>
        <v>11</v>
      </c>
      <c r="D49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97" t="s">
        <v>39</v>
      </c>
      <c r="F497">
        <v>8</v>
      </c>
      <c r="G497" t="s">
        <v>82</v>
      </c>
      <c r="H497" t="s">
        <v>82</v>
      </c>
      <c r="I497">
        <v>40</v>
      </c>
      <c r="J497" t="s">
        <v>40</v>
      </c>
      <c r="K497" t="s">
        <v>26</v>
      </c>
      <c r="L497" t="s">
        <v>14</v>
      </c>
      <c r="M497">
        <v>134</v>
      </c>
      <c r="N497">
        <v>156.78</v>
      </c>
      <c r="O497">
        <f>Base_ventes[[#This Row],[BD_2.SELLING PRICE]]*Base_ventes[[#This Row],[QUANTITY]]</f>
        <v>1254.24</v>
      </c>
      <c r="P497">
        <f>Base_ventes[[#This Row],[BD_2.BUYING PRIZE]]*Base_ventes[[#This Row],[QUANTITY]]</f>
        <v>1072</v>
      </c>
      <c r="Q497">
        <f>Base_ventes[[#This Row],[Montant Vendu]]-Base_ventes[[#This Row],[Montant Acheté]]</f>
        <v>182.24</v>
      </c>
    </row>
    <row r="498" spans="1:17" x14ac:dyDescent="0.3">
      <c r="A498" s="1">
        <v>44883</v>
      </c>
      <c r="B498">
        <f>YEAR(Base_ventes[[#This Row],[DATE]])</f>
        <v>2022</v>
      </c>
      <c r="C498">
        <f>MONTH(Base_ventes[[#This Row],[DATE]])</f>
        <v>11</v>
      </c>
      <c r="D49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98" t="s">
        <v>94</v>
      </c>
      <c r="F498">
        <v>8</v>
      </c>
      <c r="G498" t="s">
        <v>87</v>
      </c>
      <c r="H498" t="s">
        <v>84</v>
      </c>
      <c r="I498">
        <v>19</v>
      </c>
      <c r="J498" t="s">
        <v>95</v>
      </c>
      <c r="K498" t="s">
        <v>60</v>
      </c>
      <c r="L498" t="s">
        <v>11</v>
      </c>
      <c r="M498">
        <v>55</v>
      </c>
      <c r="N498">
        <v>58.3</v>
      </c>
      <c r="O498">
        <f>Base_ventes[[#This Row],[BD_2.SELLING PRICE]]*Base_ventes[[#This Row],[QUANTITY]]</f>
        <v>466.4</v>
      </c>
      <c r="P498">
        <f>Base_ventes[[#This Row],[BD_2.BUYING PRIZE]]*Base_ventes[[#This Row],[QUANTITY]]</f>
        <v>440</v>
      </c>
      <c r="Q498">
        <f>Base_ventes[[#This Row],[Montant Vendu]]-Base_ventes[[#This Row],[Montant Acheté]]</f>
        <v>26.399999999999977</v>
      </c>
    </row>
    <row r="499" spans="1:17" x14ac:dyDescent="0.3">
      <c r="A499" s="1">
        <v>44886</v>
      </c>
      <c r="B499">
        <f>YEAR(Base_ventes[[#This Row],[DATE]])</f>
        <v>2022</v>
      </c>
      <c r="C499">
        <f>MONTH(Base_ventes[[#This Row],[DATE]])</f>
        <v>11</v>
      </c>
      <c r="D49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499" t="s">
        <v>45</v>
      </c>
      <c r="F499">
        <v>6</v>
      </c>
      <c r="G499" t="s">
        <v>87</v>
      </c>
      <c r="H499" t="s">
        <v>84</v>
      </c>
      <c r="I499">
        <v>81</v>
      </c>
      <c r="J499" t="s">
        <v>46</v>
      </c>
      <c r="K499" t="s">
        <v>47</v>
      </c>
      <c r="L499" t="s">
        <v>11</v>
      </c>
      <c r="M499">
        <v>61</v>
      </c>
      <c r="N499">
        <v>76.25</v>
      </c>
      <c r="O499">
        <f>Base_ventes[[#This Row],[BD_2.SELLING PRICE]]*Base_ventes[[#This Row],[QUANTITY]]</f>
        <v>457.5</v>
      </c>
      <c r="P499">
        <f>Base_ventes[[#This Row],[BD_2.BUYING PRIZE]]*Base_ventes[[#This Row],[QUANTITY]]</f>
        <v>366</v>
      </c>
      <c r="Q499">
        <f>Base_ventes[[#This Row],[Montant Vendu]]-Base_ventes[[#This Row],[Montant Acheté]]</f>
        <v>91.5</v>
      </c>
    </row>
    <row r="500" spans="1:17" x14ac:dyDescent="0.3">
      <c r="A500" s="1">
        <v>44888</v>
      </c>
      <c r="B500">
        <f>YEAR(Base_ventes[[#This Row],[DATE]])</f>
        <v>2022</v>
      </c>
      <c r="C500">
        <f>MONTH(Base_ventes[[#This Row],[DATE]])</f>
        <v>11</v>
      </c>
      <c r="D50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500" t="s">
        <v>96</v>
      </c>
      <c r="F500">
        <v>12</v>
      </c>
      <c r="G500" t="s">
        <v>82</v>
      </c>
      <c r="H500" t="s">
        <v>82</v>
      </c>
      <c r="I500">
        <v>16</v>
      </c>
      <c r="J500" t="s">
        <v>97</v>
      </c>
      <c r="K500" t="s">
        <v>60</v>
      </c>
      <c r="L500" t="s">
        <v>4</v>
      </c>
      <c r="M500">
        <v>90</v>
      </c>
      <c r="N500">
        <v>96.3</v>
      </c>
      <c r="O500">
        <f>Base_ventes[[#This Row],[BD_2.SELLING PRICE]]*Base_ventes[[#This Row],[QUANTITY]]</f>
        <v>1155.5999999999999</v>
      </c>
      <c r="P500">
        <f>Base_ventes[[#This Row],[BD_2.BUYING PRIZE]]*Base_ventes[[#This Row],[QUANTITY]]</f>
        <v>1080</v>
      </c>
      <c r="Q500">
        <f>Base_ventes[[#This Row],[Montant Vendu]]-Base_ventes[[#This Row],[Montant Acheté]]</f>
        <v>75.599999999999909</v>
      </c>
    </row>
    <row r="501" spans="1:17" x14ac:dyDescent="0.3">
      <c r="A501" s="1">
        <v>44890</v>
      </c>
      <c r="B501">
        <f>YEAR(Base_ventes[[#This Row],[DATE]])</f>
        <v>2022</v>
      </c>
      <c r="C501">
        <f>MONTH(Base_ventes[[#This Row],[DATE]])</f>
        <v>11</v>
      </c>
      <c r="D50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501" t="s">
        <v>9</v>
      </c>
      <c r="F501">
        <v>5</v>
      </c>
      <c r="G501" t="s">
        <v>87</v>
      </c>
      <c r="H501" t="s">
        <v>84</v>
      </c>
      <c r="I501">
        <v>0</v>
      </c>
      <c r="J501" t="s">
        <v>10</v>
      </c>
      <c r="K501" t="s">
        <v>3</v>
      </c>
      <c r="L501" t="s">
        <v>11</v>
      </c>
      <c r="M501">
        <v>44</v>
      </c>
      <c r="N501">
        <v>48.84</v>
      </c>
      <c r="O501">
        <f>Base_ventes[[#This Row],[BD_2.SELLING PRICE]]*Base_ventes[[#This Row],[QUANTITY]]</f>
        <v>244.20000000000002</v>
      </c>
      <c r="P501">
        <f>Base_ventes[[#This Row],[BD_2.BUYING PRIZE]]*Base_ventes[[#This Row],[QUANTITY]]</f>
        <v>220</v>
      </c>
      <c r="Q501">
        <f>Base_ventes[[#This Row],[Montant Vendu]]-Base_ventes[[#This Row],[Montant Acheté]]</f>
        <v>24.200000000000017</v>
      </c>
    </row>
    <row r="502" spans="1:17" x14ac:dyDescent="0.3">
      <c r="A502" s="1">
        <v>44891</v>
      </c>
      <c r="B502">
        <f>YEAR(Base_ventes[[#This Row],[DATE]])</f>
        <v>2022</v>
      </c>
      <c r="C502">
        <f>MONTH(Base_ventes[[#This Row],[DATE]])</f>
        <v>11</v>
      </c>
      <c r="D50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502" t="s">
        <v>90</v>
      </c>
      <c r="F502">
        <v>5</v>
      </c>
      <c r="G502" t="s">
        <v>87</v>
      </c>
      <c r="H502" t="s">
        <v>82</v>
      </c>
      <c r="I502">
        <v>1</v>
      </c>
      <c r="J502" t="s">
        <v>91</v>
      </c>
      <c r="K502" t="s">
        <v>60</v>
      </c>
      <c r="L502" t="s">
        <v>4</v>
      </c>
      <c r="M502">
        <v>89</v>
      </c>
      <c r="N502">
        <v>117.48</v>
      </c>
      <c r="O502">
        <f>Base_ventes[[#This Row],[BD_2.SELLING PRICE]]*Base_ventes[[#This Row],[QUANTITY]]</f>
        <v>587.4</v>
      </c>
      <c r="P502">
        <f>Base_ventes[[#This Row],[BD_2.BUYING PRIZE]]*Base_ventes[[#This Row],[QUANTITY]]</f>
        <v>445</v>
      </c>
      <c r="Q502">
        <f>Base_ventes[[#This Row],[Montant Vendu]]-Base_ventes[[#This Row],[Montant Acheté]]</f>
        <v>142.39999999999998</v>
      </c>
    </row>
    <row r="503" spans="1:17" x14ac:dyDescent="0.3">
      <c r="A503" s="1">
        <v>44892</v>
      </c>
      <c r="B503">
        <f>YEAR(Base_ventes[[#This Row],[DATE]])</f>
        <v>2022</v>
      </c>
      <c r="C503">
        <f>MONTH(Base_ventes[[#This Row],[DATE]])</f>
        <v>11</v>
      </c>
      <c r="D50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503" t="s">
        <v>94</v>
      </c>
      <c r="F503">
        <v>15</v>
      </c>
      <c r="G503" t="s">
        <v>87</v>
      </c>
      <c r="H503" t="s">
        <v>82</v>
      </c>
      <c r="I503">
        <v>72</v>
      </c>
      <c r="J503" t="s">
        <v>95</v>
      </c>
      <c r="K503" t="s">
        <v>60</v>
      </c>
      <c r="L503" t="s">
        <v>11</v>
      </c>
      <c r="M503">
        <v>55</v>
      </c>
      <c r="N503">
        <v>58.3</v>
      </c>
      <c r="O503">
        <f>Base_ventes[[#This Row],[BD_2.SELLING PRICE]]*Base_ventes[[#This Row],[QUANTITY]]</f>
        <v>874.5</v>
      </c>
      <c r="P503">
        <f>Base_ventes[[#This Row],[BD_2.BUYING PRIZE]]*Base_ventes[[#This Row],[QUANTITY]]</f>
        <v>825</v>
      </c>
      <c r="Q503">
        <f>Base_ventes[[#This Row],[Montant Vendu]]-Base_ventes[[#This Row],[Montant Acheté]]</f>
        <v>49.5</v>
      </c>
    </row>
    <row r="504" spans="1:17" x14ac:dyDescent="0.3">
      <c r="A504" s="1">
        <v>44893</v>
      </c>
      <c r="B504">
        <f>YEAR(Base_ventes[[#This Row],[DATE]])</f>
        <v>2022</v>
      </c>
      <c r="C504">
        <f>MONTH(Base_ventes[[#This Row],[DATE]])</f>
        <v>11</v>
      </c>
      <c r="D50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504" t="s">
        <v>69</v>
      </c>
      <c r="F504">
        <v>8</v>
      </c>
      <c r="G504" t="s">
        <v>87</v>
      </c>
      <c r="H504" t="s">
        <v>84</v>
      </c>
      <c r="I504">
        <v>84</v>
      </c>
      <c r="J504" t="s">
        <v>70</v>
      </c>
      <c r="K504" t="s">
        <v>60</v>
      </c>
      <c r="L504" t="s">
        <v>4</v>
      </c>
      <c r="M504">
        <v>93</v>
      </c>
      <c r="N504">
        <v>104.16</v>
      </c>
      <c r="O504">
        <f>Base_ventes[[#This Row],[BD_2.SELLING PRICE]]*Base_ventes[[#This Row],[QUANTITY]]</f>
        <v>833.28</v>
      </c>
      <c r="P504">
        <f>Base_ventes[[#This Row],[BD_2.BUYING PRIZE]]*Base_ventes[[#This Row],[QUANTITY]]</f>
        <v>744</v>
      </c>
      <c r="Q504">
        <f>Base_ventes[[#This Row],[Montant Vendu]]-Base_ventes[[#This Row],[Montant Acheté]]</f>
        <v>89.279999999999973</v>
      </c>
    </row>
    <row r="505" spans="1:17" x14ac:dyDescent="0.3">
      <c r="A505" s="1">
        <v>44895</v>
      </c>
      <c r="B505">
        <f>YEAR(Base_ventes[[#This Row],[DATE]])</f>
        <v>2022</v>
      </c>
      <c r="C505">
        <f>MONTH(Base_ventes[[#This Row],[DATE]])</f>
        <v>11</v>
      </c>
      <c r="D50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Novembre</v>
      </c>
      <c r="E505" t="s">
        <v>35</v>
      </c>
      <c r="F505">
        <v>2</v>
      </c>
      <c r="G505" t="s">
        <v>87</v>
      </c>
      <c r="H505" t="s">
        <v>82</v>
      </c>
      <c r="I505">
        <v>49</v>
      </c>
      <c r="J505" t="s">
        <v>36</v>
      </c>
      <c r="K505" t="s">
        <v>26</v>
      </c>
      <c r="L505" t="s">
        <v>23</v>
      </c>
      <c r="M505">
        <v>12</v>
      </c>
      <c r="N505">
        <v>15.719999999999999</v>
      </c>
      <c r="O505">
        <f>Base_ventes[[#This Row],[BD_2.SELLING PRICE]]*Base_ventes[[#This Row],[QUANTITY]]</f>
        <v>31.439999999999998</v>
      </c>
      <c r="P505">
        <f>Base_ventes[[#This Row],[BD_2.BUYING PRIZE]]*Base_ventes[[#This Row],[QUANTITY]]</f>
        <v>24</v>
      </c>
      <c r="Q505">
        <f>Base_ventes[[#This Row],[Montant Vendu]]-Base_ventes[[#This Row],[Montant Acheté]]</f>
        <v>7.4399999999999977</v>
      </c>
    </row>
    <row r="506" spans="1:17" x14ac:dyDescent="0.3">
      <c r="A506" s="1">
        <v>44898</v>
      </c>
      <c r="B506">
        <f>YEAR(Base_ventes[[#This Row],[DATE]])</f>
        <v>2022</v>
      </c>
      <c r="C506">
        <f>MONTH(Base_ventes[[#This Row],[DATE]])</f>
        <v>12</v>
      </c>
      <c r="D50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06" t="s">
        <v>63</v>
      </c>
      <c r="F506">
        <v>5</v>
      </c>
      <c r="G506" t="s">
        <v>81</v>
      </c>
      <c r="H506" t="s">
        <v>84</v>
      </c>
      <c r="I506">
        <v>62</v>
      </c>
      <c r="J506" t="s">
        <v>64</v>
      </c>
      <c r="K506" t="s">
        <v>60</v>
      </c>
      <c r="L506" t="s">
        <v>23</v>
      </c>
      <c r="M506">
        <v>37</v>
      </c>
      <c r="N506">
        <v>41.81</v>
      </c>
      <c r="O506">
        <f>Base_ventes[[#This Row],[BD_2.SELLING PRICE]]*Base_ventes[[#This Row],[QUANTITY]]</f>
        <v>209.05</v>
      </c>
      <c r="P506">
        <f>Base_ventes[[#This Row],[BD_2.BUYING PRIZE]]*Base_ventes[[#This Row],[QUANTITY]]</f>
        <v>185</v>
      </c>
      <c r="Q506">
        <f>Base_ventes[[#This Row],[Montant Vendu]]-Base_ventes[[#This Row],[Montant Acheté]]</f>
        <v>24.050000000000011</v>
      </c>
    </row>
    <row r="507" spans="1:17" x14ac:dyDescent="0.3">
      <c r="A507" s="1">
        <v>44899</v>
      </c>
      <c r="B507">
        <f>YEAR(Base_ventes[[#This Row],[DATE]])</f>
        <v>2022</v>
      </c>
      <c r="C507">
        <f>MONTH(Base_ventes[[#This Row],[DATE]])</f>
        <v>12</v>
      </c>
      <c r="D50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07" t="s">
        <v>58</v>
      </c>
      <c r="F507">
        <v>10</v>
      </c>
      <c r="G507" t="s">
        <v>87</v>
      </c>
      <c r="H507" t="s">
        <v>84</v>
      </c>
      <c r="I507">
        <v>87</v>
      </c>
      <c r="J507" t="s">
        <v>59</v>
      </c>
      <c r="K507" t="s">
        <v>60</v>
      </c>
      <c r="L507" t="s">
        <v>23</v>
      </c>
      <c r="M507">
        <v>18</v>
      </c>
      <c r="N507">
        <v>24.66</v>
      </c>
      <c r="O507">
        <f>Base_ventes[[#This Row],[BD_2.SELLING PRICE]]*Base_ventes[[#This Row],[QUANTITY]]</f>
        <v>246.6</v>
      </c>
      <c r="P507">
        <f>Base_ventes[[#This Row],[BD_2.BUYING PRIZE]]*Base_ventes[[#This Row],[QUANTITY]]</f>
        <v>180</v>
      </c>
      <c r="Q507">
        <f>Base_ventes[[#This Row],[Montant Vendu]]-Base_ventes[[#This Row],[Montant Acheté]]</f>
        <v>66.599999999999994</v>
      </c>
    </row>
    <row r="508" spans="1:17" x14ac:dyDescent="0.3">
      <c r="A508" s="1">
        <v>44899</v>
      </c>
      <c r="B508">
        <f>YEAR(Base_ventes[[#This Row],[DATE]])</f>
        <v>2022</v>
      </c>
      <c r="C508">
        <f>MONTH(Base_ventes[[#This Row],[DATE]])</f>
        <v>12</v>
      </c>
      <c r="D50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08" t="s">
        <v>110</v>
      </c>
      <c r="F508">
        <v>15</v>
      </c>
      <c r="G508" t="s">
        <v>87</v>
      </c>
      <c r="H508" t="s">
        <v>84</v>
      </c>
      <c r="I508">
        <v>69</v>
      </c>
      <c r="J508" t="s">
        <v>111</v>
      </c>
      <c r="K508" t="s">
        <v>86</v>
      </c>
      <c r="L508" t="s">
        <v>4</v>
      </c>
      <c r="M508">
        <v>76</v>
      </c>
      <c r="N508">
        <v>82.08</v>
      </c>
      <c r="O508">
        <f>Base_ventes[[#This Row],[BD_2.SELLING PRICE]]*Base_ventes[[#This Row],[QUANTITY]]</f>
        <v>1231.2</v>
      </c>
      <c r="P508">
        <f>Base_ventes[[#This Row],[BD_2.BUYING PRIZE]]*Base_ventes[[#This Row],[QUANTITY]]</f>
        <v>1140</v>
      </c>
      <c r="Q508">
        <f>Base_ventes[[#This Row],[Montant Vendu]]-Base_ventes[[#This Row],[Montant Acheté]]</f>
        <v>91.200000000000045</v>
      </c>
    </row>
    <row r="509" spans="1:17" x14ac:dyDescent="0.3">
      <c r="A509" s="1">
        <v>44902</v>
      </c>
      <c r="B509">
        <f>YEAR(Base_ventes[[#This Row],[DATE]])</f>
        <v>2022</v>
      </c>
      <c r="C509">
        <f>MONTH(Base_ventes[[#This Row],[DATE]])</f>
        <v>12</v>
      </c>
      <c r="D50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09" t="s">
        <v>83</v>
      </c>
      <c r="F509">
        <v>12</v>
      </c>
      <c r="G509" t="s">
        <v>87</v>
      </c>
      <c r="H509" t="s">
        <v>84</v>
      </c>
      <c r="I509">
        <v>20</v>
      </c>
      <c r="J509" t="s">
        <v>85</v>
      </c>
      <c r="K509" t="s">
        <v>86</v>
      </c>
      <c r="L509" t="s">
        <v>4</v>
      </c>
      <c r="M509">
        <v>72</v>
      </c>
      <c r="N509">
        <v>79.92</v>
      </c>
      <c r="O509">
        <f>Base_ventes[[#This Row],[BD_2.SELLING PRICE]]*Base_ventes[[#This Row],[QUANTITY]]</f>
        <v>959.04</v>
      </c>
      <c r="P509">
        <f>Base_ventes[[#This Row],[BD_2.BUYING PRIZE]]*Base_ventes[[#This Row],[QUANTITY]]</f>
        <v>864</v>
      </c>
      <c r="Q509">
        <f>Base_ventes[[#This Row],[Montant Vendu]]-Base_ventes[[#This Row],[Montant Acheté]]</f>
        <v>95.039999999999964</v>
      </c>
    </row>
    <row r="510" spans="1:17" x14ac:dyDescent="0.3">
      <c r="A510" s="1">
        <v>44902</v>
      </c>
      <c r="B510">
        <f>YEAR(Base_ventes[[#This Row],[DATE]])</f>
        <v>2022</v>
      </c>
      <c r="C510">
        <f>MONTH(Base_ventes[[#This Row],[DATE]])</f>
        <v>12</v>
      </c>
      <c r="D51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10" t="s">
        <v>37</v>
      </c>
      <c r="F510">
        <v>13</v>
      </c>
      <c r="G510" t="s">
        <v>87</v>
      </c>
      <c r="H510" t="s">
        <v>82</v>
      </c>
      <c r="I510">
        <v>23</v>
      </c>
      <c r="J510" t="s">
        <v>38</v>
      </c>
      <c r="K510" t="s">
        <v>26</v>
      </c>
      <c r="L510" t="s">
        <v>23</v>
      </c>
      <c r="M510">
        <v>13</v>
      </c>
      <c r="N510">
        <v>16.64</v>
      </c>
      <c r="O510">
        <f>Base_ventes[[#This Row],[BD_2.SELLING PRICE]]*Base_ventes[[#This Row],[QUANTITY]]</f>
        <v>216.32</v>
      </c>
      <c r="P510">
        <f>Base_ventes[[#This Row],[BD_2.BUYING PRIZE]]*Base_ventes[[#This Row],[QUANTITY]]</f>
        <v>169</v>
      </c>
      <c r="Q510">
        <f>Base_ventes[[#This Row],[Montant Vendu]]-Base_ventes[[#This Row],[Montant Acheté]]</f>
        <v>47.319999999999993</v>
      </c>
    </row>
    <row r="511" spans="1:17" x14ac:dyDescent="0.3">
      <c r="A511" s="1">
        <v>44902</v>
      </c>
      <c r="B511">
        <f>YEAR(Base_ventes[[#This Row],[DATE]])</f>
        <v>2022</v>
      </c>
      <c r="C511">
        <f>MONTH(Base_ventes[[#This Row],[DATE]])</f>
        <v>12</v>
      </c>
      <c r="D51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11" t="s">
        <v>83</v>
      </c>
      <c r="F511">
        <v>5</v>
      </c>
      <c r="G511" t="s">
        <v>87</v>
      </c>
      <c r="H511" t="s">
        <v>84</v>
      </c>
      <c r="I511">
        <v>59</v>
      </c>
      <c r="J511" t="s">
        <v>85</v>
      </c>
      <c r="K511" t="s">
        <v>86</v>
      </c>
      <c r="L511" t="s">
        <v>4</v>
      </c>
      <c r="M511">
        <v>72</v>
      </c>
      <c r="N511">
        <v>79.92</v>
      </c>
      <c r="O511">
        <f>Base_ventes[[#This Row],[BD_2.SELLING PRICE]]*Base_ventes[[#This Row],[QUANTITY]]</f>
        <v>399.6</v>
      </c>
      <c r="P511">
        <f>Base_ventes[[#This Row],[BD_2.BUYING PRIZE]]*Base_ventes[[#This Row],[QUANTITY]]</f>
        <v>360</v>
      </c>
      <c r="Q511">
        <f>Base_ventes[[#This Row],[Montant Vendu]]-Base_ventes[[#This Row],[Montant Acheté]]</f>
        <v>39.600000000000023</v>
      </c>
    </row>
    <row r="512" spans="1:17" x14ac:dyDescent="0.3">
      <c r="A512" s="1">
        <v>44906</v>
      </c>
      <c r="B512">
        <f>YEAR(Base_ventes[[#This Row],[DATE]])</f>
        <v>2022</v>
      </c>
      <c r="C512">
        <f>MONTH(Base_ventes[[#This Row],[DATE]])</f>
        <v>12</v>
      </c>
      <c r="D51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12" t="s">
        <v>61</v>
      </c>
      <c r="F512">
        <v>5</v>
      </c>
      <c r="G512" t="s">
        <v>87</v>
      </c>
      <c r="H512" t="s">
        <v>82</v>
      </c>
      <c r="I512">
        <v>2</v>
      </c>
      <c r="J512" t="s">
        <v>62</v>
      </c>
      <c r="K512" t="s">
        <v>60</v>
      </c>
      <c r="L512" t="s">
        <v>11</v>
      </c>
      <c r="M512">
        <v>48</v>
      </c>
      <c r="N512">
        <v>57.120000000000005</v>
      </c>
      <c r="O512">
        <f>Base_ventes[[#This Row],[BD_2.SELLING PRICE]]*Base_ventes[[#This Row],[QUANTITY]]</f>
        <v>285.60000000000002</v>
      </c>
      <c r="P512">
        <f>Base_ventes[[#This Row],[BD_2.BUYING PRIZE]]*Base_ventes[[#This Row],[QUANTITY]]</f>
        <v>240</v>
      </c>
      <c r="Q512">
        <f>Base_ventes[[#This Row],[Montant Vendu]]-Base_ventes[[#This Row],[Montant Acheté]]</f>
        <v>45.600000000000023</v>
      </c>
    </row>
    <row r="513" spans="1:17" x14ac:dyDescent="0.3">
      <c r="A513" s="1">
        <v>44906</v>
      </c>
      <c r="B513">
        <f>YEAR(Base_ventes[[#This Row],[DATE]])</f>
        <v>2022</v>
      </c>
      <c r="C513">
        <f>MONTH(Base_ventes[[#This Row],[DATE]])</f>
        <v>12</v>
      </c>
      <c r="D51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13" t="s">
        <v>31</v>
      </c>
      <c r="F513">
        <v>9</v>
      </c>
      <c r="G513" t="s">
        <v>81</v>
      </c>
      <c r="H513" t="s">
        <v>82</v>
      </c>
      <c r="I513">
        <v>49</v>
      </c>
      <c r="J513" t="s">
        <v>32</v>
      </c>
      <c r="K513" t="s">
        <v>26</v>
      </c>
      <c r="L513" t="s">
        <v>4</v>
      </c>
      <c r="M513">
        <v>112</v>
      </c>
      <c r="N513">
        <v>122.08</v>
      </c>
      <c r="O513">
        <f>Base_ventes[[#This Row],[BD_2.SELLING PRICE]]*Base_ventes[[#This Row],[QUANTITY]]</f>
        <v>1098.72</v>
      </c>
      <c r="P513">
        <f>Base_ventes[[#This Row],[BD_2.BUYING PRIZE]]*Base_ventes[[#This Row],[QUANTITY]]</f>
        <v>1008</v>
      </c>
      <c r="Q513">
        <f>Base_ventes[[#This Row],[Montant Vendu]]-Base_ventes[[#This Row],[Montant Acheté]]</f>
        <v>90.720000000000027</v>
      </c>
    </row>
    <row r="514" spans="1:17" x14ac:dyDescent="0.3">
      <c r="A514" s="1">
        <v>44906</v>
      </c>
      <c r="B514">
        <f>YEAR(Base_ventes[[#This Row],[DATE]])</f>
        <v>2022</v>
      </c>
      <c r="C514">
        <f>MONTH(Base_ventes[[#This Row],[DATE]])</f>
        <v>12</v>
      </c>
      <c r="D51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14" t="s">
        <v>33</v>
      </c>
      <c r="F514">
        <v>10</v>
      </c>
      <c r="G514" t="s">
        <v>82</v>
      </c>
      <c r="H514" t="s">
        <v>84</v>
      </c>
      <c r="I514">
        <v>21</v>
      </c>
      <c r="J514" t="s">
        <v>34</v>
      </c>
      <c r="K514" t="s">
        <v>26</v>
      </c>
      <c r="L514" t="s">
        <v>4</v>
      </c>
      <c r="M514">
        <v>112</v>
      </c>
      <c r="N514">
        <v>146.72</v>
      </c>
      <c r="O514">
        <f>Base_ventes[[#This Row],[BD_2.SELLING PRICE]]*Base_ventes[[#This Row],[QUANTITY]]</f>
        <v>1467.2</v>
      </c>
      <c r="P514">
        <f>Base_ventes[[#This Row],[BD_2.BUYING PRIZE]]*Base_ventes[[#This Row],[QUANTITY]]</f>
        <v>1120</v>
      </c>
      <c r="Q514">
        <f>Base_ventes[[#This Row],[Montant Vendu]]-Base_ventes[[#This Row],[Montant Acheté]]</f>
        <v>347.20000000000005</v>
      </c>
    </row>
    <row r="515" spans="1:17" x14ac:dyDescent="0.3">
      <c r="A515" s="1">
        <v>44907</v>
      </c>
      <c r="B515">
        <f>YEAR(Base_ventes[[#This Row],[DATE]])</f>
        <v>2022</v>
      </c>
      <c r="C515">
        <f>MONTH(Base_ventes[[#This Row],[DATE]])</f>
        <v>12</v>
      </c>
      <c r="D51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15" t="s">
        <v>67</v>
      </c>
      <c r="F515">
        <v>9</v>
      </c>
      <c r="G515" t="s">
        <v>81</v>
      </c>
      <c r="H515" t="s">
        <v>84</v>
      </c>
      <c r="I515">
        <v>43</v>
      </c>
      <c r="J515" t="s">
        <v>68</v>
      </c>
      <c r="K515" t="s">
        <v>60</v>
      </c>
      <c r="L515" t="s">
        <v>14</v>
      </c>
      <c r="M515">
        <v>148</v>
      </c>
      <c r="N515">
        <v>201.28</v>
      </c>
      <c r="O515">
        <f>Base_ventes[[#This Row],[BD_2.SELLING PRICE]]*Base_ventes[[#This Row],[QUANTITY]]</f>
        <v>1811.52</v>
      </c>
      <c r="P515">
        <f>Base_ventes[[#This Row],[BD_2.BUYING PRIZE]]*Base_ventes[[#This Row],[QUANTITY]]</f>
        <v>1332</v>
      </c>
      <c r="Q515">
        <f>Base_ventes[[#This Row],[Montant Vendu]]-Base_ventes[[#This Row],[Montant Acheté]]</f>
        <v>479.52</v>
      </c>
    </row>
    <row r="516" spans="1:17" x14ac:dyDescent="0.3">
      <c r="A516" s="1">
        <v>44907</v>
      </c>
      <c r="B516">
        <f>YEAR(Base_ventes[[#This Row],[DATE]])</f>
        <v>2022</v>
      </c>
      <c r="C516">
        <f>MONTH(Base_ventes[[#This Row],[DATE]])</f>
        <v>12</v>
      </c>
      <c r="D51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16" t="s">
        <v>104</v>
      </c>
      <c r="F516">
        <v>10</v>
      </c>
      <c r="G516" t="s">
        <v>81</v>
      </c>
      <c r="H516" t="s">
        <v>82</v>
      </c>
      <c r="I516">
        <v>15</v>
      </c>
      <c r="J516" t="s">
        <v>105</v>
      </c>
      <c r="K516" t="s">
        <v>86</v>
      </c>
      <c r="L516" t="s">
        <v>14</v>
      </c>
      <c r="M516">
        <v>138</v>
      </c>
      <c r="N516">
        <v>173.88</v>
      </c>
      <c r="O516">
        <f>Base_ventes[[#This Row],[BD_2.SELLING PRICE]]*Base_ventes[[#This Row],[QUANTITY]]</f>
        <v>1738.8</v>
      </c>
      <c r="P516">
        <f>Base_ventes[[#This Row],[BD_2.BUYING PRIZE]]*Base_ventes[[#This Row],[QUANTITY]]</f>
        <v>1380</v>
      </c>
      <c r="Q516">
        <f>Base_ventes[[#This Row],[Montant Vendu]]-Base_ventes[[#This Row],[Montant Acheté]]</f>
        <v>358.79999999999995</v>
      </c>
    </row>
    <row r="517" spans="1:17" x14ac:dyDescent="0.3">
      <c r="A517" s="1">
        <v>44909</v>
      </c>
      <c r="B517">
        <f>YEAR(Base_ventes[[#This Row],[DATE]])</f>
        <v>2022</v>
      </c>
      <c r="C517">
        <f>MONTH(Base_ventes[[#This Row],[DATE]])</f>
        <v>12</v>
      </c>
      <c r="D51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17" t="s">
        <v>12</v>
      </c>
      <c r="F517">
        <v>4</v>
      </c>
      <c r="G517" t="s">
        <v>87</v>
      </c>
      <c r="H517" t="s">
        <v>84</v>
      </c>
      <c r="I517">
        <v>10</v>
      </c>
      <c r="J517" t="s">
        <v>13</v>
      </c>
      <c r="K517" t="s">
        <v>3</v>
      </c>
      <c r="L517" t="s">
        <v>14</v>
      </c>
      <c r="M517">
        <v>133</v>
      </c>
      <c r="N517">
        <v>155.61000000000001</v>
      </c>
      <c r="O517">
        <f>Base_ventes[[#This Row],[BD_2.SELLING PRICE]]*Base_ventes[[#This Row],[QUANTITY]]</f>
        <v>622.44000000000005</v>
      </c>
      <c r="P517">
        <f>Base_ventes[[#This Row],[BD_2.BUYING PRIZE]]*Base_ventes[[#This Row],[QUANTITY]]</f>
        <v>532</v>
      </c>
      <c r="Q517">
        <f>Base_ventes[[#This Row],[Montant Vendu]]-Base_ventes[[#This Row],[Montant Acheté]]</f>
        <v>90.440000000000055</v>
      </c>
    </row>
    <row r="518" spans="1:17" x14ac:dyDescent="0.3">
      <c r="A518" s="1">
        <v>44910</v>
      </c>
      <c r="B518">
        <f>YEAR(Base_ventes[[#This Row],[DATE]])</f>
        <v>2022</v>
      </c>
      <c r="C518">
        <f>MONTH(Base_ventes[[#This Row],[DATE]])</f>
        <v>12</v>
      </c>
      <c r="D51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18" t="s">
        <v>21</v>
      </c>
      <c r="F518">
        <v>13</v>
      </c>
      <c r="G518" t="s">
        <v>87</v>
      </c>
      <c r="H518" t="s">
        <v>82</v>
      </c>
      <c r="I518">
        <v>85</v>
      </c>
      <c r="J518" t="s">
        <v>22</v>
      </c>
      <c r="K518" t="s">
        <v>3</v>
      </c>
      <c r="L518" t="s">
        <v>23</v>
      </c>
      <c r="M518">
        <v>6</v>
      </c>
      <c r="N518">
        <v>7.8599999999999994</v>
      </c>
      <c r="O518">
        <f>Base_ventes[[#This Row],[BD_2.SELLING PRICE]]*Base_ventes[[#This Row],[QUANTITY]]</f>
        <v>102.17999999999999</v>
      </c>
      <c r="P518">
        <f>Base_ventes[[#This Row],[BD_2.BUYING PRIZE]]*Base_ventes[[#This Row],[QUANTITY]]</f>
        <v>78</v>
      </c>
      <c r="Q518">
        <f>Base_ventes[[#This Row],[Montant Vendu]]-Base_ventes[[#This Row],[Montant Acheté]]</f>
        <v>24.179999999999993</v>
      </c>
    </row>
    <row r="519" spans="1:17" x14ac:dyDescent="0.3">
      <c r="A519" s="1">
        <v>44914</v>
      </c>
      <c r="B519">
        <f>YEAR(Base_ventes[[#This Row],[DATE]])</f>
        <v>2022</v>
      </c>
      <c r="C519">
        <f>MONTH(Base_ventes[[#This Row],[DATE]])</f>
        <v>12</v>
      </c>
      <c r="D519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19" t="s">
        <v>110</v>
      </c>
      <c r="F519">
        <v>7</v>
      </c>
      <c r="G519" t="s">
        <v>87</v>
      </c>
      <c r="H519" t="s">
        <v>82</v>
      </c>
      <c r="I519">
        <v>86</v>
      </c>
      <c r="J519" t="s">
        <v>111</v>
      </c>
      <c r="K519" t="s">
        <v>86</v>
      </c>
      <c r="L519" t="s">
        <v>4</v>
      </c>
      <c r="M519">
        <v>76</v>
      </c>
      <c r="N519">
        <v>82.08</v>
      </c>
      <c r="O519">
        <f>Base_ventes[[#This Row],[BD_2.SELLING PRICE]]*Base_ventes[[#This Row],[QUANTITY]]</f>
        <v>574.55999999999995</v>
      </c>
      <c r="P519">
        <f>Base_ventes[[#This Row],[BD_2.BUYING PRIZE]]*Base_ventes[[#This Row],[QUANTITY]]</f>
        <v>532</v>
      </c>
      <c r="Q519">
        <f>Base_ventes[[#This Row],[Montant Vendu]]-Base_ventes[[#This Row],[Montant Acheté]]</f>
        <v>42.559999999999945</v>
      </c>
    </row>
    <row r="520" spans="1:17" x14ac:dyDescent="0.3">
      <c r="A520" s="1">
        <v>44914</v>
      </c>
      <c r="B520">
        <f>YEAR(Base_ventes[[#This Row],[DATE]])</f>
        <v>2022</v>
      </c>
      <c r="C520">
        <f>MONTH(Base_ventes[[#This Row],[DATE]])</f>
        <v>12</v>
      </c>
      <c r="D520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20" t="s">
        <v>27</v>
      </c>
      <c r="F520">
        <v>14</v>
      </c>
      <c r="G520" t="s">
        <v>87</v>
      </c>
      <c r="H520" t="s">
        <v>84</v>
      </c>
      <c r="I520">
        <v>72</v>
      </c>
      <c r="J520" t="s">
        <v>28</v>
      </c>
      <c r="K520" t="s">
        <v>26</v>
      </c>
      <c r="L520" t="s">
        <v>11</v>
      </c>
      <c r="M520">
        <v>44</v>
      </c>
      <c r="N520">
        <v>48.4</v>
      </c>
      <c r="O520">
        <f>Base_ventes[[#This Row],[BD_2.SELLING PRICE]]*Base_ventes[[#This Row],[QUANTITY]]</f>
        <v>677.6</v>
      </c>
      <c r="P520">
        <f>Base_ventes[[#This Row],[BD_2.BUYING PRIZE]]*Base_ventes[[#This Row],[QUANTITY]]</f>
        <v>616</v>
      </c>
      <c r="Q520">
        <f>Base_ventes[[#This Row],[Montant Vendu]]-Base_ventes[[#This Row],[Montant Acheté]]</f>
        <v>61.600000000000023</v>
      </c>
    </row>
    <row r="521" spans="1:17" x14ac:dyDescent="0.3">
      <c r="A521" s="1">
        <v>44914</v>
      </c>
      <c r="B521">
        <f>YEAR(Base_ventes[[#This Row],[DATE]])</f>
        <v>2022</v>
      </c>
      <c r="C521">
        <f>MONTH(Base_ventes[[#This Row],[DATE]])</f>
        <v>12</v>
      </c>
      <c r="D521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21" t="s">
        <v>21</v>
      </c>
      <c r="F521">
        <v>11</v>
      </c>
      <c r="G521" t="s">
        <v>82</v>
      </c>
      <c r="H521" t="s">
        <v>82</v>
      </c>
      <c r="I521">
        <v>58</v>
      </c>
      <c r="J521" t="s">
        <v>22</v>
      </c>
      <c r="K521" t="s">
        <v>3</v>
      </c>
      <c r="L521" t="s">
        <v>23</v>
      </c>
      <c r="M521">
        <v>6</v>
      </c>
      <c r="N521">
        <v>7.8599999999999994</v>
      </c>
      <c r="O521">
        <f>Base_ventes[[#This Row],[BD_2.SELLING PRICE]]*Base_ventes[[#This Row],[QUANTITY]]</f>
        <v>86.46</v>
      </c>
      <c r="P521">
        <f>Base_ventes[[#This Row],[BD_2.BUYING PRIZE]]*Base_ventes[[#This Row],[QUANTITY]]</f>
        <v>66</v>
      </c>
      <c r="Q521">
        <f>Base_ventes[[#This Row],[Montant Vendu]]-Base_ventes[[#This Row],[Montant Acheté]]</f>
        <v>20.459999999999994</v>
      </c>
    </row>
    <row r="522" spans="1:17" x14ac:dyDescent="0.3">
      <c r="A522" s="1">
        <v>44916</v>
      </c>
      <c r="B522">
        <f>YEAR(Base_ventes[[#This Row],[DATE]])</f>
        <v>2022</v>
      </c>
      <c r="C522">
        <f>MONTH(Base_ventes[[#This Row],[DATE]])</f>
        <v>12</v>
      </c>
      <c r="D522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22" t="s">
        <v>15</v>
      </c>
      <c r="F522">
        <v>10</v>
      </c>
      <c r="G522" t="s">
        <v>87</v>
      </c>
      <c r="H522" t="s">
        <v>82</v>
      </c>
      <c r="I522">
        <v>45</v>
      </c>
      <c r="J522" t="s">
        <v>16</v>
      </c>
      <c r="K522" t="s">
        <v>3</v>
      </c>
      <c r="L522" t="s">
        <v>4</v>
      </c>
      <c r="M522">
        <v>75</v>
      </c>
      <c r="N522">
        <v>85.5</v>
      </c>
      <c r="O522">
        <f>Base_ventes[[#This Row],[BD_2.SELLING PRICE]]*Base_ventes[[#This Row],[QUANTITY]]</f>
        <v>855</v>
      </c>
      <c r="P522">
        <f>Base_ventes[[#This Row],[BD_2.BUYING PRIZE]]*Base_ventes[[#This Row],[QUANTITY]]</f>
        <v>750</v>
      </c>
      <c r="Q522">
        <f>Base_ventes[[#This Row],[Montant Vendu]]-Base_ventes[[#This Row],[Montant Acheté]]</f>
        <v>105</v>
      </c>
    </row>
    <row r="523" spans="1:17" x14ac:dyDescent="0.3">
      <c r="A523" s="1">
        <v>44924</v>
      </c>
      <c r="B523">
        <f>YEAR(Base_ventes[[#This Row],[DATE]])</f>
        <v>2022</v>
      </c>
      <c r="C523">
        <f>MONTH(Base_ventes[[#This Row],[DATE]])</f>
        <v>12</v>
      </c>
      <c r="D523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23" t="s">
        <v>19</v>
      </c>
      <c r="F523">
        <v>15</v>
      </c>
      <c r="G523" t="s">
        <v>87</v>
      </c>
      <c r="H523" t="s">
        <v>82</v>
      </c>
      <c r="I523">
        <v>78</v>
      </c>
      <c r="J523" t="s">
        <v>20</v>
      </c>
      <c r="K523" t="s">
        <v>3</v>
      </c>
      <c r="L523" t="s">
        <v>4</v>
      </c>
      <c r="M523">
        <v>83</v>
      </c>
      <c r="N523">
        <v>94.62</v>
      </c>
      <c r="O523">
        <f>Base_ventes[[#This Row],[BD_2.SELLING PRICE]]*Base_ventes[[#This Row],[QUANTITY]]</f>
        <v>1419.3000000000002</v>
      </c>
      <c r="P523">
        <f>Base_ventes[[#This Row],[BD_2.BUYING PRIZE]]*Base_ventes[[#This Row],[QUANTITY]]</f>
        <v>1245</v>
      </c>
      <c r="Q523">
        <f>Base_ventes[[#This Row],[Montant Vendu]]-Base_ventes[[#This Row],[Montant Acheté]]</f>
        <v>174.30000000000018</v>
      </c>
    </row>
    <row r="524" spans="1:17" x14ac:dyDescent="0.3">
      <c r="A524" s="1">
        <v>44924</v>
      </c>
      <c r="B524">
        <f>YEAR(Base_ventes[[#This Row],[DATE]])</f>
        <v>2022</v>
      </c>
      <c r="C524">
        <f>MONTH(Base_ventes[[#This Row],[DATE]])</f>
        <v>12</v>
      </c>
      <c r="D524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24" t="s">
        <v>106</v>
      </c>
      <c r="F524">
        <v>1</v>
      </c>
      <c r="G524" t="s">
        <v>81</v>
      </c>
      <c r="H524" t="s">
        <v>84</v>
      </c>
      <c r="I524">
        <v>27</v>
      </c>
      <c r="J524" t="s">
        <v>107</v>
      </c>
      <c r="K524" t="s">
        <v>86</v>
      </c>
      <c r="L524" t="s">
        <v>14</v>
      </c>
      <c r="M524">
        <v>120</v>
      </c>
      <c r="N524">
        <v>162</v>
      </c>
      <c r="O524">
        <f>Base_ventes[[#This Row],[BD_2.SELLING PRICE]]*Base_ventes[[#This Row],[QUANTITY]]</f>
        <v>162</v>
      </c>
      <c r="P524">
        <f>Base_ventes[[#This Row],[BD_2.BUYING PRIZE]]*Base_ventes[[#This Row],[QUANTITY]]</f>
        <v>120</v>
      </c>
      <c r="Q524">
        <f>Base_ventes[[#This Row],[Montant Vendu]]-Base_ventes[[#This Row],[Montant Acheté]]</f>
        <v>42</v>
      </c>
    </row>
    <row r="525" spans="1:17" x14ac:dyDescent="0.3">
      <c r="A525" s="1">
        <v>44925</v>
      </c>
      <c r="B525">
        <f>YEAR(Base_ventes[[#This Row],[DATE]])</f>
        <v>2022</v>
      </c>
      <c r="C525">
        <f>MONTH(Base_ventes[[#This Row],[DATE]])</f>
        <v>12</v>
      </c>
      <c r="D525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25" t="s">
        <v>104</v>
      </c>
      <c r="F525">
        <v>14</v>
      </c>
      <c r="G525" t="s">
        <v>87</v>
      </c>
      <c r="H525" t="s">
        <v>82</v>
      </c>
      <c r="I525">
        <v>38</v>
      </c>
      <c r="J525" t="s">
        <v>105</v>
      </c>
      <c r="K525" t="s">
        <v>86</v>
      </c>
      <c r="L525" t="s">
        <v>14</v>
      </c>
      <c r="M525">
        <v>138</v>
      </c>
      <c r="N525">
        <v>173.88</v>
      </c>
      <c r="O525">
        <f>Base_ventes[[#This Row],[BD_2.SELLING PRICE]]*Base_ventes[[#This Row],[QUANTITY]]</f>
        <v>2434.3199999999997</v>
      </c>
      <c r="P525">
        <f>Base_ventes[[#This Row],[BD_2.BUYING PRIZE]]*Base_ventes[[#This Row],[QUANTITY]]</f>
        <v>1932</v>
      </c>
      <c r="Q525">
        <f>Base_ventes[[#This Row],[Montant Vendu]]-Base_ventes[[#This Row],[Montant Acheté]]</f>
        <v>502.31999999999971</v>
      </c>
    </row>
    <row r="526" spans="1:17" x14ac:dyDescent="0.3">
      <c r="A526" s="1">
        <v>44926</v>
      </c>
      <c r="B526">
        <f>YEAR(Base_ventes[[#This Row],[DATE]])</f>
        <v>2022</v>
      </c>
      <c r="C526">
        <f>MONTH(Base_ventes[[#This Row],[DATE]])</f>
        <v>12</v>
      </c>
      <c r="D526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26" t="s">
        <v>92</v>
      </c>
      <c r="F526">
        <v>12</v>
      </c>
      <c r="G526" t="s">
        <v>82</v>
      </c>
      <c r="H526" t="s">
        <v>82</v>
      </c>
      <c r="I526">
        <v>47</v>
      </c>
      <c r="J526" t="s">
        <v>93</v>
      </c>
      <c r="K526" t="s">
        <v>60</v>
      </c>
      <c r="L526" t="s">
        <v>4</v>
      </c>
      <c r="M526">
        <v>95</v>
      </c>
      <c r="N526">
        <v>119.7</v>
      </c>
      <c r="O526">
        <f>Base_ventes[[#This Row],[BD_2.SELLING PRICE]]*Base_ventes[[#This Row],[QUANTITY]]</f>
        <v>1436.4</v>
      </c>
      <c r="P526">
        <f>Base_ventes[[#This Row],[BD_2.BUYING PRIZE]]*Base_ventes[[#This Row],[QUANTITY]]</f>
        <v>1140</v>
      </c>
      <c r="Q526">
        <f>Base_ventes[[#This Row],[Montant Vendu]]-Base_ventes[[#This Row],[Montant Acheté]]</f>
        <v>296.40000000000009</v>
      </c>
    </row>
    <row r="527" spans="1:17" x14ac:dyDescent="0.3">
      <c r="A527" s="1">
        <v>44926</v>
      </c>
      <c r="B527">
        <f>YEAR(Base_ventes[[#This Row],[DATE]])</f>
        <v>2022</v>
      </c>
      <c r="C527">
        <f>MONTH(Base_ventes[[#This Row],[DATE]])</f>
        <v>12</v>
      </c>
      <c r="D527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27" t="s">
        <v>27</v>
      </c>
      <c r="F527">
        <v>6</v>
      </c>
      <c r="G527" t="s">
        <v>82</v>
      </c>
      <c r="H527" t="s">
        <v>82</v>
      </c>
      <c r="I527">
        <v>73</v>
      </c>
      <c r="J527" t="s">
        <v>28</v>
      </c>
      <c r="K527" t="s">
        <v>26</v>
      </c>
      <c r="L527" t="s">
        <v>11</v>
      </c>
      <c r="M527">
        <v>44</v>
      </c>
      <c r="N527">
        <v>48.4</v>
      </c>
      <c r="O527">
        <f>Base_ventes[[#This Row],[BD_2.SELLING PRICE]]*Base_ventes[[#This Row],[QUANTITY]]</f>
        <v>290.39999999999998</v>
      </c>
      <c r="P527">
        <f>Base_ventes[[#This Row],[BD_2.BUYING PRIZE]]*Base_ventes[[#This Row],[QUANTITY]]</f>
        <v>264</v>
      </c>
      <c r="Q527">
        <f>Base_ventes[[#This Row],[Montant Vendu]]-Base_ventes[[#This Row],[Montant Acheté]]</f>
        <v>26.399999999999977</v>
      </c>
    </row>
    <row r="528" spans="1:17" x14ac:dyDescent="0.3">
      <c r="A528" s="1">
        <v>44926</v>
      </c>
      <c r="B528">
        <f>YEAR(Base_ventes[[#This Row],[DATE]])</f>
        <v>2022</v>
      </c>
      <c r="C528">
        <f>MONTH(Base_ventes[[#This Row],[DATE]])</f>
        <v>12</v>
      </c>
      <c r="D528" t="str">
        <f>IF(Base_ventes[[#This Row],[Mois num]]=1, "Janvier", IF(Base_ventes[[#This Row],[Mois num]]=2,"Février", IF(Base_ventes[[#This Row],[Mois num]]=3, "Mars", IF(Base_ventes[[#This Row],[Mois num]]=4, "Avril", IF(Base_ventes[[#This Row],[Mois num]]=5,"Mai", IF(Base_ventes[[#This Row],[Mois num]]=6,"Juin", IF(Base_ventes[[#This Row],[Mois num]]=7, "Juillet", IF(Base_ventes[[#This Row],[Mois num]]=8, "Août", IF(Base_ventes[[#This Row],[Mois num]]=9,"Septembre", IF(Base_ventes[[#This Row],[Mois num]]=10, "Octobre", IF(Base_ventes[[#This Row],[Mois num]]=11, "Novembre", "Décembre")))))))))))</f>
        <v>Décembre</v>
      </c>
      <c r="E528" t="s">
        <v>27</v>
      </c>
      <c r="F528">
        <v>3</v>
      </c>
      <c r="G528" t="s">
        <v>81</v>
      </c>
      <c r="H528" t="s">
        <v>84</v>
      </c>
      <c r="I528">
        <v>57</v>
      </c>
      <c r="J528" t="s">
        <v>28</v>
      </c>
      <c r="K528" t="s">
        <v>26</v>
      </c>
      <c r="L528" t="s">
        <v>11</v>
      </c>
      <c r="M528">
        <v>44</v>
      </c>
      <c r="N528">
        <v>48.4</v>
      </c>
      <c r="O528">
        <f>Base_ventes[[#This Row],[BD_2.SELLING PRICE]]*Base_ventes[[#This Row],[QUANTITY]]</f>
        <v>145.19999999999999</v>
      </c>
      <c r="P528">
        <f>Base_ventes[[#This Row],[BD_2.BUYING PRIZE]]*Base_ventes[[#This Row],[QUANTITY]]</f>
        <v>132</v>
      </c>
      <c r="Q528">
        <f>Base_ventes[[#This Row],[Montant Vendu]]-Base_ventes[[#This Row],[Montant Acheté]]</f>
        <v>13.199999999999989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B66B-CB84-4D50-9EDA-D72B49A0E51E}">
  <dimension ref="A1:AL196"/>
  <sheetViews>
    <sheetView workbookViewId="0">
      <selection activeCell="E8" sqref="E8"/>
    </sheetView>
  </sheetViews>
  <sheetFormatPr baseColWidth="10" defaultRowHeight="14.4" x14ac:dyDescent="0.3"/>
  <cols>
    <col min="1" max="1" width="19.77734375" bestFit="1" customWidth="1"/>
    <col min="2" max="2" width="11.88671875" bestFit="1" customWidth="1"/>
    <col min="3" max="3" width="19.109375" bestFit="1" customWidth="1"/>
    <col min="4" max="4" width="11.6640625" bestFit="1" customWidth="1"/>
    <col min="5" max="5" width="16.5546875" bestFit="1" customWidth="1"/>
    <col min="6" max="7" width="15.33203125" customWidth="1"/>
    <col min="9" max="9" width="19.5546875" bestFit="1" customWidth="1"/>
    <col min="10" max="11" width="16.77734375" bestFit="1" customWidth="1"/>
    <col min="16" max="16" width="19.5546875" bestFit="1" customWidth="1"/>
    <col min="17" max="17" width="9" bestFit="1" customWidth="1"/>
    <col min="18" max="18" width="11.6640625" bestFit="1" customWidth="1"/>
    <col min="19" max="19" width="8.21875" bestFit="1" customWidth="1"/>
    <col min="20" max="21" width="19.5546875" bestFit="1" customWidth="1"/>
    <col min="22" max="22" width="20.21875" bestFit="1" customWidth="1"/>
    <col min="24" max="24" width="19.5546875" bestFit="1" customWidth="1"/>
    <col min="25" max="25" width="13.88671875" bestFit="1" customWidth="1"/>
    <col min="26" max="26" width="25.33203125" customWidth="1"/>
    <col min="27" max="27" width="19.5546875" bestFit="1" customWidth="1"/>
    <col min="28" max="28" width="25.33203125" bestFit="1" customWidth="1"/>
    <col min="29" max="29" width="24.109375" bestFit="1" customWidth="1"/>
    <col min="30" max="30" width="24.109375" customWidth="1"/>
    <col min="31" max="31" width="19.5546875" bestFit="1" customWidth="1"/>
    <col min="32" max="32" width="23.21875" bestFit="1" customWidth="1"/>
    <col min="33" max="33" width="20.77734375" bestFit="1" customWidth="1"/>
    <col min="34" max="34" width="19.33203125" bestFit="1" customWidth="1"/>
    <col min="35" max="35" width="20.77734375" bestFit="1" customWidth="1"/>
    <col min="37" max="37" width="19.5546875" bestFit="1" customWidth="1"/>
    <col min="38" max="39" width="19.33203125" bestFit="1" customWidth="1"/>
  </cols>
  <sheetData>
    <row r="1" spans="1:38" x14ac:dyDescent="0.3">
      <c r="A1" t="s">
        <v>128</v>
      </c>
    </row>
    <row r="2" spans="1:38" x14ac:dyDescent="0.3">
      <c r="A2" t="s">
        <v>137</v>
      </c>
    </row>
    <row r="3" spans="1:38" x14ac:dyDescent="0.3">
      <c r="A3" t="s">
        <v>126</v>
      </c>
      <c r="B3" t="s">
        <v>127</v>
      </c>
      <c r="C3" t="s">
        <v>141</v>
      </c>
      <c r="D3" t="s">
        <v>138</v>
      </c>
      <c r="I3" s="16" t="s">
        <v>120</v>
      </c>
      <c r="J3" t="s">
        <v>129</v>
      </c>
      <c r="P3" s="16" t="s">
        <v>120</v>
      </c>
      <c r="Q3" t="s">
        <v>126</v>
      </c>
      <c r="R3" t="s">
        <v>130</v>
      </c>
      <c r="S3" t="s">
        <v>131</v>
      </c>
      <c r="U3" s="16" t="s">
        <v>120</v>
      </c>
      <c r="V3" t="s">
        <v>139</v>
      </c>
      <c r="X3" s="16" t="s">
        <v>120</v>
      </c>
      <c r="Y3" t="s">
        <v>140</v>
      </c>
      <c r="AA3" s="16" t="s">
        <v>120</v>
      </c>
      <c r="AB3" t="s">
        <v>133</v>
      </c>
      <c r="AC3" t="s">
        <v>122</v>
      </c>
      <c r="AE3" s="16" t="s">
        <v>120</v>
      </c>
      <c r="AF3" t="s">
        <v>134</v>
      </c>
      <c r="AH3" t="s">
        <v>135</v>
      </c>
      <c r="AI3" t="s">
        <v>136</v>
      </c>
      <c r="AK3" s="16" t="s">
        <v>120</v>
      </c>
      <c r="AL3" t="s">
        <v>135</v>
      </c>
    </row>
    <row r="4" spans="1:38" x14ac:dyDescent="0.3">
      <c r="A4" s="39">
        <v>214127.59999999998</v>
      </c>
      <c r="B4" s="39">
        <v>808.02867924528289</v>
      </c>
      <c r="C4" s="39">
        <v>175535</v>
      </c>
      <c r="D4" s="39">
        <v>38592.599999999991</v>
      </c>
      <c r="F4" s="20"/>
      <c r="I4" s="17">
        <v>2021</v>
      </c>
      <c r="J4" s="18"/>
      <c r="L4" t="s">
        <v>143</v>
      </c>
      <c r="M4" s="18">
        <f>1-M5</f>
        <v>0.85667096957182509</v>
      </c>
      <c r="P4" s="19">
        <v>44562</v>
      </c>
      <c r="Q4">
        <v>141.57</v>
      </c>
      <c r="R4">
        <v>121</v>
      </c>
      <c r="S4">
        <v>20.569999999999993</v>
      </c>
      <c r="U4" s="17" t="s">
        <v>3</v>
      </c>
      <c r="V4" s="18">
        <v>0.20532380977788817</v>
      </c>
      <c r="X4" s="17" t="s">
        <v>89</v>
      </c>
      <c r="Y4" s="18">
        <v>6.5708484100134674E-4</v>
      </c>
      <c r="AA4" s="17" t="s">
        <v>84</v>
      </c>
      <c r="AB4" s="18">
        <v>0.6428571428571429</v>
      </c>
      <c r="AC4" s="18">
        <v>0.59405940594059414</v>
      </c>
      <c r="AD4" s="18"/>
      <c r="AH4">
        <v>101</v>
      </c>
      <c r="AI4">
        <v>14</v>
      </c>
      <c r="AK4" s="17" t="s">
        <v>3</v>
      </c>
      <c r="AL4" s="18">
        <v>0.20047393364928909</v>
      </c>
    </row>
    <row r="5" spans="1:38" x14ac:dyDescent="0.3">
      <c r="I5" s="17">
        <v>2022</v>
      </c>
      <c r="J5" s="18">
        <v>0.14332903042817485</v>
      </c>
      <c r="L5" t="s">
        <v>142</v>
      </c>
      <c r="M5" s="18">
        <f>J5</f>
        <v>0.14332903042817485</v>
      </c>
      <c r="P5" s="19">
        <v>44563</v>
      </c>
      <c r="Q5">
        <v>1301.1000000000001</v>
      </c>
      <c r="R5">
        <v>1155</v>
      </c>
      <c r="S5">
        <v>146.10000000000002</v>
      </c>
      <c r="U5" s="17" t="s">
        <v>26</v>
      </c>
      <c r="V5" s="18">
        <v>0.27621836192170174</v>
      </c>
      <c r="X5" s="17" t="s">
        <v>57</v>
      </c>
      <c r="Y5" s="18">
        <v>7.3913871915624147E-4</v>
      </c>
      <c r="AA5" s="17" t="s">
        <v>82</v>
      </c>
      <c r="AB5" s="18">
        <v>0.35714285714285715</v>
      </c>
      <c r="AC5" s="18">
        <v>0.40594059405940602</v>
      </c>
      <c r="AD5" s="18"/>
      <c r="AK5" s="17" t="s">
        <v>26</v>
      </c>
      <c r="AL5" s="18">
        <v>0.28009478672985783</v>
      </c>
    </row>
    <row r="6" spans="1:38" x14ac:dyDescent="0.3">
      <c r="P6" s="19">
        <v>44564</v>
      </c>
      <c r="Q6">
        <v>747.72</v>
      </c>
      <c r="R6">
        <v>603</v>
      </c>
      <c r="S6">
        <v>144.72000000000003</v>
      </c>
      <c r="U6" s="17" t="s">
        <v>60</v>
      </c>
      <c r="V6" s="18">
        <v>0.27902263262587218</v>
      </c>
      <c r="X6" s="17" t="s">
        <v>22</v>
      </c>
      <c r="Y6" s="18">
        <v>1.1012125480321078E-3</v>
      </c>
      <c r="AK6" s="17" t="s">
        <v>60</v>
      </c>
      <c r="AL6" s="18">
        <v>0.30189573459715641</v>
      </c>
    </row>
    <row r="7" spans="1:38" x14ac:dyDescent="0.3">
      <c r="P7" s="19">
        <v>44565</v>
      </c>
      <c r="Q7">
        <v>806.47</v>
      </c>
      <c r="R7">
        <v>631</v>
      </c>
      <c r="S7">
        <v>175.47000000000003</v>
      </c>
      <c r="U7" s="17" t="s">
        <v>86</v>
      </c>
      <c r="V7" s="18">
        <v>0.23943519567453783</v>
      </c>
      <c r="X7" s="17" t="s">
        <v>18</v>
      </c>
      <c r="Y7" s="18">
        <v>5.572611844526348E-3</v>
      </c>
      <c r="Z7" s="18"/>
      <c r="AK7" s="17" t="s">
        <v>86</v>
      </c>
      <c r="AL7" s="18">
        <v>0.21753554502369668</v>
      </c>
    </row>
    <row r="8" spans="1:38" x14ac:dyDescent="0.3">
      <c r="P8" s="19">
        <v>44570</v>
      </c>
      <c r="Q8">
        <v>1409.76</v>
      </c>
      <c r="R8">
        <v>1068</v>
      </c>
      <c r="S8">
        <v>341.76</v>
      </c>
      <c r="X8" s="17" t="s">
        <v>64</v>
      </c>
      <c r="Y8" s="18">
        <v>5.8577222179672303E-3</v>
      </c>
      <c r="Z8" s="18"/>
    </row>
    <row r="9" spans="1:38" x14ac:dyDescent="0.3">
      <c r="P9" s="19">
        <v>44571</v>
      </c>
      <c r="Q9">
        <v>816.19999999999993</v>
      </c>
      <c r="R9">
        <v>770</v>
      </c>
      <c r="S9">
        <v>46.199999999999932</v>
      </c>
      <c r="X9" s="17" t="s">
        <v>36</v>
      </c>
      <c r="Y9" s="18">
        <v>6.3136186087174194E-3</v>
      </c>
      <c r="Z9" s="18"/>
    </row>
    <row r="10" spans="1:38" x14ac:dyDescent="0.3">
      <c r="P10" s="19">
        <v>44572</v>
      </c>
      <c r="Q10">
        <v>234.96</v>
      </c>
      <c r="R10">
        <v>178</v>
      </c>
      <c r="S10">
        <v>56.960000000000008</v>
      </c>
      <c r="X10" s="17" t="s">
        <v>38</v>
      </c>
      <c r="Y10" s="18">
        <v>6.4499858962599865E-3</v>
      </c>
      <c r="Z10" s="18"/>
    </row>
    <row r="11" spans="1:38" x14ac:dyDescent="0.3">
      <c r="P11" s="19">
        <v>44574</v>
      </c>
      <c r="Q11">
        <v>1260</v>
      </c>
      <c r="R11">
        <v>900</v>
      </c>
      <c r="S11">
        <v>360</v>
      </c>
      <c r="X11" s="17" t="s">
        <v>101</v>
      </c>
      <c r="Y11" s="18">
        <v>8.9420980761004184E-3</v>
      </c>
    </row>
    <row r="12" spans="1:38" x14ac:dyDescent="0.3">
      <c r="P12" s="19">
        <v>44575</v>
      </c>
      <c r="Q12">
        <v>677.6</v>
      </c>
      <c r="R12">
        <v>616</v>
      </c>
      <c r="S12">
        <v>61.600000000000023</v>
      </c>
      <c r="X12" s="17" t="s">
        <v>42</v>
      </c>
      <c r="Y12" s="18">
        <v>9.1926496163969532E-3</v>
      </c>
    </row>
    <row r="13" spans="1:38" x14ac:dyDescent="0.3">
      <c r="P13" s="19">
        <v>44576</v>
      </c>
      <c r="Q13">
        <v>1415.6999999999998</v>
      </c>
      <c r="R13">
        <v>1210</v>
      </c>
      <c r="S13">
        <v>205.69999999999982</v>
      </c>
      <c r="X13" s="17" t="s">
        <v>66</v>
      </c>
      <c r="Y13" s="18">
        <v>1.016921685948005E-2</v>
      </c>
    </row>
    <row r="14" spans="1:38" x14ac:dyDescent="0.3">
      <c r="P14" s="19">
        <v>44577</v>
      </c>
      <c r="Q14">
        <v>1613.92</v>
      </c>
      <c r="R14">
        <v>1232</v>
      </c>
      <c r="S14">
        <v>381.92000000000007</v>
      </c>
      <c r="X14" s="17" t="s">
        <v>70</v>
      </c>
      <c r="Y14" s="18">
        <v>1.0215217468462727E-2</v>
      </c>
    </row>
    <row r="15" spans="1:38" x14ac:dyDescent="0.3">
      <c r="P15" s="19">
        <v>44578</v>
      </c>
      <c r="Q15">
        <v>460.8</v>
      </c>
      <c r="R15">
        <v>360</v>
      </c>
      <c r="S15">
        <v>100.80000000000001</v>
      </c>
      <c r="X15" s="17" t="s">
        <v>55</v>
      </c>
      <c r="Y15" s="18">
        <v>1.0262292203340437E-2</v>
      </c>
    </row>
    <row r="16" spans="1:38" x14ac:dyDescent="0.3">
      <c r="P16" s="19">
        <v>44579</v>
      </c>
      <c r="Q16">
        <v>851.58</v>
      </c>
      <c r="R16">
        <v>747</v>
      </c>
      <c r="S16">
        <v>104.58000000000004</v>
      </c>
      <c r="X16" s="17" t="s">
        <v>59</v>
      </c>
      <c r="Y16" s="18">
        <v>1.0480012852149839E-2</v>
      </c>
    </row>
    <row r="17" spans="1:25" x14ac:dyDescent="0.3">
      <c r="P17" s="19">
        <v>44581</v>
      </c>
      <c r="Q17">
        <v>1352.12</v>
      </c>
      <c r="R17">
        <v>1036</v>
      </c>
      <c r="S17">
        <v>316.11999999999995</v>
      </c>
      <c r="X17" s="17" t="s">
        <v>32</v>
      </c>
      <c r="Y17" s="18">
        <v>1.0832419547970462E-2</v>
      </c>
    </row>
    <row r="18" spans="1:25" x14ac:dyDescent="0.3">
      <c r="P18" s="19">
        <v>44583</v>
      </c>
      <c r="Q18">
        <v>623.28</v>
      </c>
      <c r="R18">
        <v>588</v>
      </c>
      <c r="S18">
        <v>35.279999999999973</v>
      </c>
      <c r="X18" s="17" t="s">
        <v>10</v>
      </c>
      <c r="Y18" s="18">
        <v>1.1860591535140731E-2</v>
      </c>
    </row>
    <row r="19" spans="1:25" x14ac:dyDescent="0.3">
      <c r="P19" s="19">
        <v>44584</v>
      </c>
      <c r="Q19">
        <v>2010</v>
      </c>
      <c r="R19">
        <v>1485</v>
      </c>
      <c r="S19">
        <v>525</v>
      </c>
      <c r="X19" s="17" t="s">
        <v>51</v>
      </c>
      <c r="Y19" s="18">
        <v>1.1900661101137825E-2</v>
      </c>
    </row>
    <row r="20" spans="1:25" x14ac:dyDescent="0.3">
      <c r="P20" s="19">
        <v>44585</v>
      </c>
      <c r="Q20">
        <v>3019.2</v>
      </c>
      <c r="R20">
        <v>2220</v>
      </c>
      <c r="S20">
        <v>799.19999999999982</v>
      </c>
      <c r="X20" s="17" t="s">
        <v>16</v>
      </c>
      <c r="Y20" s="18">
        <v>1.1978838785845448E-2</v>
      </c>
    </row>
    <row r="21" spans="1:25" x14ac:dyDescent="0.3">
      <c r="P21" s="19">
        <v>44586</v>
      </c>
      <c r="Q21">
        <v>2194.92</v>
      </c>
      <c r="R21">
        <v>1876</v>
      </c>
      <c r="S21">
        <v>318.92000000000007</v>
      </c>
      <c r="X21" s="17" t="s">
        <v>8</v>
      </c>
      <c r="Y21" s="18">
        <v>1.322996194792264E-2</v>
      </c>
    </row>
    <row r="22" spans="1:25" x14ac:dyDescent="0.3">
      <c r="P22" s="19">
        <v>44589</v>
      </c>
      <c r="Q22">
        <v>183.04000000000002</v>
      </c>
      <c r="R22">
        <v>143</v>
      </c>
      <c r="S22">
        <v>40.04000000000002</v>
      </c>
      <c r="X22" s="17" t="s">
        <v>53</v>
      </c>
      <c r="Y22" s="18">
        <v>1.3261905518018226E-2</v>
      </c>
    </row>
    <row r="23" spans="1:25" x14ac:dyDescent="0.3">
      <c r="P23" s="19">
        <v>44592</v>
      </c>
      <c r="Q23">
        <v>2461.6800000000003</v>
      </c>
      <c r="R23">
        <v>2088</v>
      </c>
      <c r="S23">
        <v>373.68000000000006</v>
      </c>
      <c r="X23" s="17" t="s">
        <v>28</v>
      </c>
      <c r="Y23" s="18">
        <v>1.3335973503649226E-2</v>
      </c>
    </row>
    <row r="24" spans="1:25" x14ac:dyDescent="0.3">
      <c r="A24" t="s">
        <v>132</v>
      </c>
      <c r="C24" t="s">
        <v>145</v>
      </c>
      <c r="D24" s="20">
        <f>100-D25</f>
        <v>65.642857142857139</v>
      </c>
      <c r="P24" s="19">
        <v>44593</v>
      </c>
      <c r="Q24">
        <v>1400.4900000000002</v>
      </c>
      <c r="R24">
        <v>1197</v>
      </c>
      <c r="S24">
        <v>203.49000000000024</v>
      </c>
      <c r="X24" s="17" t="s">
        <v>49</v>
      </c>
      <c r="Y24" s="18">
        <v>1.4422521898157918E-2</v>
      </c>
    </row>
    <row r="25" spans="1:25" x14ac:dyDescent="0.3">
      <c r="A25" s="20">
        <v>34.357142857142854</v>
      </c>
      <c r="C25" t="s">
        <v>144</v>
      </c>
      <c r="D25" s="20">
        <f>A25</f>
        <v>34.357142857142854</v>
      </c>
      <c r="P25" s="19">
        <v>44595</v>
      </c>
      <c r="Q25">
        <v>1173.76</v>
      </c>
      <c r="R25">
        <v>896</v>
      </c>
      <c r="S25">
        <v>277.76</v>
      </c>
      <c r="X25" s="17" t="s">
        <v>99</v>
      </c>
      <c r="Y25" s="18">
        <v>1.521933650776453E-2</v>
      </c>
    </row>
    <row r="26" spans="1:25" x14ac:dyDescent="0.3">
      <c r="P26" s="19">
        <v>44597</v>
      </c>
      <c r="Q26">
        <v>295.26</v>
      </c>
      <c r="R26">
        <v>222</v>
      </c>
      <c r="S26">
        <v>73.259999999999991</v>
      </c>
      <c r="X26" s="17" t="s">
        <v>103</v>
      </c>
      <c r="Y26" s="18">
        <v>1.5601912130897655E-2</v>
      </c>
    </row>
    <row r="27" spans="1:25" x14ac:dyDescent="0.3">
      <c r="P27" s="19">
        <v>44598</v>
      </c>
      <c r="Q27">
        <v>856.80000000000007</v>
      </c>
      <c r="R27">
        <v>630</v>
      </c>
      <c r="S27">
        <v>226.80000000000007</v>
      </c>
      <c r="X27" s="17" t="s">
        <v>62</v>
      </c>
      <c r="Y27" s="18">
        <v>1.5738653027447185E-2</v>
      </c>
    </row>
    <row r="28" spans="1:25" x14ac:dyDescent="0.3">
      <c r="A28" s="16" t="s">
        <v>120</v>
      </c>
      <c r="B28" t="s">
        <v>146</v>
      </c>
      <c r="C28" t="s">
        <v>147</v>
      </c>
      <c r="P28" s="19">
        <v>44600</v>
      </c>
      <c r="Q28">
        <v>1858.23</v>
      </c>
      <c r="R28">
        <v>1595</v>
      </c>
      <c r="S28">
        <v>263.23</v>
      </c>
      <c r="X28" s="17" t="s">
        <v>46</v>
      </c>
      <c r="Y28" s="18">
        <v>1.6380419899162928E-2</v>
      </c>
    </row>
    <row r="29" spans="1:25" x14ac:dyDescent="0.3">
      <c r="A29" s="17" t="s">
        <v>87</v>
      </c>
      <c r="B29" s="18">
        <v>0.57425742574257421</v>
      </c>
      <c r="C29" s="18">
        <v>0.5714285714285714</v>
      </c>
      <c r="P29" s="19">
        <v>44601</v>
      </c>
      <c r="Q29">
        <v>1644.72</v>
      </c>
      <c r="R29">
        <v>1246</v>
      </c>
      <c r="S29">
        <v>398.72</v>
      </c>
      <c r="X29" s="17" t="s">
        <v>2</v>
      </c>
      <c r="Y29" s="18">
        <v>1.6979595344084556E-2</v>
      </c>
    </row>
    <row r="30" spans="1:25" x14ac:dyDescent="0.3">
      <c r="A30" s="17" t="s">
        <v>82</v>
      </c>
      <c r="B30" s="18">
        <v>0.2277227722772277</v>
      </c>
      <c r="C30" s="18">
        <v>0.21428571428571427</v>
      </c>
      <c r="P30" s="19">
        <v>44604</v>
      </c>
      <c r="Q30">
        <v>2135.64</v>
      </c>
      <c r="R30">
        <v>1924</v>
      </c>
      <c r="S30">
        <v>211.63999999999987</v>
      </c>
      <c r="X30" s="17" t="s">
        <v>97</v>
      </c>
      <c r="Y30" s="18">
        <v>1.7089810001139506E-2</v>
      </c>
    </row>
    <row r="31" spans="1:25" x14ac:dyDescent="0.3">
      <c r="A31" s="17" t="s">
        <v>81</v>
      </c>
      <c r="B31" s="18">
        <v>0.198019801980198</v>
      </c>
      <c r="C31" s="18">
        <v>0.21428571428571427</v>
      </c>
      <c r="P31" s="19">
        <v>44606</v>
      </c>
      <c r="Q31">
        <v>322.71000000000004</v>
      </c>
      <c r="R31">
        <v>255</v>
      </c>
      <c r="S31">
        <v>67.710000000000008</v>
      </c>
      <c r="X31" s="17" t="s">
        <v>85</v>
      </c>
      <c r="Y31" s="18">
        <v>2.0154711489784597E-2</v>
      </c>
    </row>
    <row r="32" spans="1:25" x14ac:dyDescent="0.3">
      <c r="P32" s="19">
        <v>44608</v>
      </c>
      <c r="Q32">
        <v>117.48</v>
      </c>
      <c r="R32">
        <v>89</v>
      </c>
      <c r="S32">
        <v>28.480000000000004</v>
      </c>
      <c r="X32" s="17" t="s">
        <v>109</v>
      </c>
      <c r="Y32" s="18">
        <v>2.0175633594174687E-2</v>
      </c>
    </row>
    <row r="33" spans="16:25" x14ac:dyDescent="0.3">
      <c r="P33" s="19">
        <v>44611</v>
      </c>
      <c r="Q33">
        <v>1856.4</v>
      </c>
      <c r="R33">
        <v>1365</v>
      </c>
      <c r="S33">
        <v>491.40000000000009</v>
      </c>
      <c r="X33" s="17" t="s">
        <v>95</v>
      </c>
      <c r="Y33" s="18">
        <v>2.1781405106114298E-2</v>
      </c>
    </row>
    <row r="34" spans="16:25" x14ac:dyDescent="0.3">
      <c r="P34" s="19">
        <v>44612</v>
      </c>
      <c r="Q34">
        <v>565.02</v>
      </c>
      <c r="R34">
        <v>438</v>
      </c>
      <c r="S34">
        <v>127.01999999999998</v>
      </c>
      <c r="X34" s="17" t="s">
        <v>20</v>
      </c>
      <c r="Y34" s="18">
        <v>3.4025226080150343E-2</v>
      </c>
    </row>
    <row r="35" spans="16:25" x14ac:dyDescent="0.3">
      <c r="P35" s="19">
        <v>44615</v>
      </c>
      <c r="Q35">
        <v>1752.48</v>
      </c>
      <c r="R35">
        <v>1587</v>
      </c>
      <c r="S35">
        <v>165.48000000000002</v>
      </c>
      <c r="X35" s="17" t="s">
        <v>34</v>
      </c>
      <c r="Y35" s="18">
        <v>3.4259945938776688E-2</v>
      </c>
    </row>
    <row r="36" spans="16:25" x14ac:dyDescent="0.3">
      <c r="P36" s="19">
        <v>44619</v>
      </c>
      <c r="Q36">
        <v>2993.34</v>
      </c>
      <c r="R36">
        <v>2506</v>
      </c>
      <c r="S36">
        <v>487.34000000000015</v>
      </c>
      <c r="X36" s="17" t="s">
        <v>107</v>
      </c>
      <c r="Y36" s="18">
        <v>3.6314795477089358E-2</v>
      </c>
    </row>
    <row r="37" spans="16:25" x14ac:dyDescent="0.3">
      <c r="P37" s="19">
        <v>44620</v>
      </c>
      <c r="Q37">
        <v>1286.4000000000001</v>
      </c>
      <c r="R37">
        <v>1005</v>
      </c>
      <c r="S37">
        <v>281.40000000000009</v>
      </c>
      <c r="X37" s="17" t="s">
        <v>30</v>
      </c>
      <c r="Y37" s="18">
        <v>3.6502113692956917E-2</v>
      </c>
    </row>
    <row r="38" spans="16:25" x14ac:dyDescent="0.3">
      <c r="P38" s="19">
        <v>44624</v>
      </c>
      <c r="Q38">
        <v>320.58</v>
      </c>
      <c r="R38">
        <v>234</v>
      </c>
      <c r="S38">
        <v>86.579999999999984</v>
      </c>
      <c r="X38" s="17" t="s">
        <v>25</v>
      </c>
      <c r="Y38" s="18">
        <v>4.296354136505523E-2</v>
      </c>
    </row>
    <row r="39" spans="16:25" x14ac:dyDescent="0.3">
      <c r="P39" s="19">
        <v>44626</v>
      </c>
      <c r="Q39">
        <v>97.68</v>
      </c>
      <c r="R39">
        <v>88</v>
      </c>
      <c r="S39">
        <v>9.6800000000000068</v>
      </c>
      <c r="X39" s="17" t="s">
        <v>40</v>
      </c>
      <c r="Y39" s="18">
        <v>4.3930815084090052E-2</v>
      </c>
    </row>
    <row r="40" spans="16:25" x14ac:dyDescent="0.3">
      <c r="P40" s="19">
        <v>44627</v>
      </c>
      <c r="Q40">
        <v>80.94</v>
      </c>
      <c r="R40">
        <v>71</v>
      </c>
      <c r="S40">
        <v>9.9399999999999977</v>
      </c>
      <c r="X40" s="17" t="s">
        <v>111</v>
      </c>
      <c r="Y40" s="18">
        <v>4.4465449573058306E-2</v>
      </c>
    </row>
    <row r="41" spans="16:25" x14ac:dyDescent="0.3">
      <c r="P41" s="19">
        <v>44628</v>
      </c>
      <c r="Q41">
        <v>492.48</v>
      </c>
      <c r="R41">
        <v>456</v>
      </c>
      <c r="S41">
        <v>36.480000000000018</v>
      </c>
      <c r="X41" s="17" t="s">
        <v>6</v>
      </c>
      <c r="Y41" s="18">
        <v>4.6682445420394195E-2</v>
      </c>
    </row>
    <row r="42" spans="16:25" x14ac:dyDescent="0.3">
      <c r="P42" s="19">
        <v>44629</v>
      </c>
      <c r="Q42">
        <v>1141.08</v>
      </c>
      <c r="R42">
        <v>928</v>
      </c>
      <c r="S42">
        <v>213.08000000000004</v>
      </c>
      <c r="X42" s="17" t="s">
        <v>93</v>
      </c>
      <c r="Y42" s="18">
        <v>4.8075072993859741E-2</v>
      </c>
    </row>
    <row r="43" spans="16:25" x14ac:dyDescent="0.3">
      <c r="P43" s="19">
        <v>44630</v>
      </c>
      <c r="Q43">
        <v>1436.4</v>
      </c>
      <c r="R43">
        <v>1140</v>
      </c>
      <c r="S43">
        <v>296.40000000000009</v>
      </c>
      <c r="X43" s="17" t="s">
        <v>13</v>
      </c>
      <c r="Y43" s="18">
        <v>5.0143419157549038E-2</v>
      </c>
    </row>
    <row r="44" spans="16:25" x14ac:dyDescent="0.3">
      <c r="P44" s="19">
        <v>44634</v>
      </c>
      <c r="Q44">
        <v>353.86</v>
      </c>
      <c r="R44">
        <v>260</v>
      </c>
      <c r="S44">
        <v>93.859999999999985</v>
      </c>
      <c r="X44" s="17" t="s">
        <v>44</v>
      </c>
      <c r="Y44" s="18">
        <v>5.393980038070758E-2</v>
      </c>
    </row>
    <row r="45" spans="16:25" x14ac:dyDescent="0.3">
      <c r="P45" s="19">
        <v>44638</v>
      </c>
      <c r="Q45">
        <v>991.2</v>
      </c>
      <c r="R45">
        <v>780</v>
      </c>
      <c r="S45">
        <v>211.20000000000005</v>
      </c>
      <c r="X45" s="17" t="s">
        <v>91</v>
      </c>
      <c r="Y45" s="18">
        <v>5.5413127499677757E-2</v>
      </c>
    </row>
    <row r="46" spans="16:25" x14ac:dyDescent="0.3">
      <c r="P46" s="19">
        <v>44639</v>
      </c>
      <c r="Q46">
        <v>1043.28</v>
      </c>
      <c r="R46">
        <v>828</v>
      </c>
      <c r="S46">
        <v>215.27999999999997</v>
      </c>
      <c r="X46" s="17" t="s">
        <v>105</v>
      </c>
      <c r="Y46" s="18">
        <v>6.2527016601316224E-2</v>
      </c>
    </row>
    <row r="47" spans="16:25" x14ac:dyDescent="0.3">
      <c r="P47" s="19">
        <v>44643</v>
      </c>
      <c r="Q47">
        <v>1057.32</v>
      </c>
      <c r="R47">
        <v>801</v>
      </c>
      <c r="S47">
        <v>256.31999999999994</v>
      </c>
      <c r="X47" s="17" t="s">
        <v>68</v>
      </c>
      <c r="Y47" s="18">
        <v>6.4860018045315035E-2</v>
      </c>
    </row>
    <row r="48" spans="16:25" x14ac:dyDescent="0.3">
      <c r="P48" s="19">
        <v>44645</v>
      </c>
      <c r="Q48">
        <v>2421.84</v>
      </c>
      <c r="R48">
        <v>1824</v>
      </c>
      <c r="S48">
        <v>597.83999999999992</v>
      </c>
    </row>
    <row r="49" spans="16:19" x14ac:dyDescent="0.3">
      <c r="P49" s="19">
        <v>44649</v>
      </c>
      <c r="Q49">
        <v>1409.76</v>
      </c>
      <c r="R49">
        <v>1068</v>
      </c>
      <c r="S49">
        <v>341.76</v>
      </c>
    </row>
    <row r="50" spans="16:19" x14ac:dyDescent="0.3">
      <c r="P50" s="19">
        <v>44650</v>
      </c>
      <c r="Q50">
        <v>1350.44</v>
      </c>
      <c r="R50">
        <v>1274</v>
      </c>
      <c r="S50">
        <v>76.440000000000055</v>
      </c>
    </row>
    <row r="51" spans="16:19" x14ac:dyDescent="0.3">
      <c r="P51" s="19">
        <v>44652</v>
      </c>
      <c r="Q51">
        <v>285.60000000000002</v>
      </c>
      <c r="R51">
        <v>210</v>
      </c>
      <c r="S51">
        <v>75.600000000000023</v>
      </c>
    </row>
    <row r="52" spans="16:19" x14ac:dyDescent="0.3">
      <c r="P52" s="19">
        <v>44653</v>
      </c>
      <c r="Q52">
        <v>428.40000000000003</v>
      </c>
      <c r="R52">
        <v>315</v>
      </c>
      <c r="S52">
        <v>113.40000000000003</v>
      </c>
    </row>
    <row r="53" spans="16:19" x14ac:dyDescent="0.3">
      <c r="P53" s="19">
        <v>44657</v>
      </c>
      <c r="Q53">
        <v>230.4</v>
      </c>
      <c r="R53">
        <v>180</v>
      </c>
      <c r="S53">
        <v>50.400000000000006</v>
      </c>
    </row>
    <row r="54" spans="16:19" x14ac:dyDescent="0.3">
      <c r="P54" s="19">
        <v>44658</v>
      </c>
      <c r="Q54">
        <v>172.62</v>
      </c>
      <c r="R54">
        <v>126</v>
      </c>
      <c r="S54">
        <v>46.620000000000005</v>
      </c>
    </row>
    <row r="55" spans="16:19" x14ac:dyDescent="0.3">
      <c r="P55" s="19">
        <v>44660</v>
      </c>
      <c r="Q55">
        <v>1795.8</v>
      </c>
      <c r="R55">
        <v>1389</v>
      </c>
      <c r="S55">
        <v>406.8</v>
      </c>
    </row>
    <row r="56" spans="16:19" x14ac:dyDescent="0.3">
      <c r="P56" s="19">
        <v>44664</v>
      </c>
      <c r="Q56">
        <v>232.96</v>
      </c>
      <c r="R56">
        <v>182</v>
      </c>
      <c r="S56">
        <v>50.960000000000008</v>
      </c>
    </row>
    <row r="57" spans="16:19" x14ac:dyDescent="0.3">
      <c r="P57" s="19">
        <v>44669</v>
      </c>
      <c r="Q57">
        <v>1564.92</v>
      </c>
      <c r="R57">
        <v>1242</v>
      </c>
      <c r="S57">
        <v>322.92000000000007</v>
      </c>
    </row>
    <row r="58" spans="16:19" x14ac:dyDescent="0.3">
      <c r="P58" s="19">
        <v>44671</v>
      </c>
      <c r="Q58">
        <v>475.1</v>
      </c>
      <c r="R58">
        <v>366</v>
      </c>
      <c r="S58">
        <v>109.10000000000001</v>
      </c>
    </row>
    <row r="59" spans="16:19" x14ac:dyDescent="0.3">
      <c r="P59" s="19">
        <v>44672</v>
      </c>
      <c r="Q59">
        <v>747.8</v>
      </c>
      <c r="R59">
        <v>548</v>
      </c>
      <c r="S59">
        <v>199.8</v>
      </c>
    </row>
    <row r="60" spans="16:19" x14ac:dyDescent="0.3">
      <c r="P60" s="19">
        <v>44674</v>
      </c>
      <c r="Q60">
        <v>1231.2</v>
      </c>
      <c r="R60">
        <v>1140</v>
      </c>
      <c r="S60">
        <v>91.200000000000045</v>
      </c>
    </row>
    <row r="61" spans="16:19" x14ac:dyDescent="0.3">
      <c r="P61" s="19">
        <v>44675</v>
      </c>
      <c r="Q61">
        <v>233.2</v>
      </c>
      <c r="R61">
        <v>220</v>
      </c>
      <c r="S61">
        <v>13.199999999999989</v>
      </c>
    </row>
    <row r="62" spans="16:19" x14ac:dyDescent="0.3">
      <c r="P62" s="19">
        <v>44676</v>
      </c>
      <c r="Q62">
        <v>1087.08</v>
      </c>
      <c r="R62">
        <v>964</v>
      </c>
      <c r="S62">
        <v>123.08000000000004</v>
      </c>
    </row>
    <row r="63" spans="16:19" x14ac:dyDescent="0.3">
      <c r="P63" s="19">
        <v>44677</v>
      </c>
      <c r="Q63">
        <v>114.24000000000001</v>
      </c>
      <c r="R63">
        <v>96</v>
      </c>
      <c r="S63">
        <v>18.240000000000009</v>
      </c>
    </row>
    <row r="64" spans="16:19" x14ac:dyDescent="0.3">
      <c r="P64" s="19">
        <v>44679</v>
      </c>
      <c r="Q64">
        <v>2054.08</v>
      </c>
      <c r="R64">
        <v>1568</v>
      </c>
      <c r="S64">
        <v>486.07999999999993</v>
      </c>
    </row>
    <row r="65" spans="16:19" x14ac:dyDescent="0.3">
      <c r="P65" s="19">
        <v>44681</v>
      </c>
      <c r="Q65">
        <v>673.28</v>
      </c>
      <c r="R65">
        <v>553</v>
      </c>
      <c r="S65">
        <v>120.28000000000003</v>
      </c>
    </row>
    <row r="66" spans="16:19" x14ac:dyDescent="0.3">
      <c r="P66" s="19">
        <v>44682</v>
      </c>
      <c r="Q66">
        <v>1242.9000000000001</v>
      </c>
      <c r="R66">
        <v>1065</v>
      </c>
      <c r="S66">
        <v>177.89999999999998</v>
      </c>
    </row>
    <row r="67" spans="16:19" x14ac:dyDescent="0.3">
      <c r="P67" s="19">
        <v>44683</v>
      </c>
      <c r="Q67">
        <v>488.32</v>
      </c>
      <c r="R67">
        <v>448</v>
      </c>
      <c r="S67">
        <v>40.319999999999993</v>
      </c>
    </row>
    <row r="68" spans="16:19" x14ac:dyDescent="0.3">
      <c r="P68" s="19">
        <v>44685</v>
      </c>
      <c r="Q68">
        <v>762.5</v>
      </c>
      <c r="R68">
        <v>610</v>
      </c>
      <c r="S68">
        <v>152.5</v>
      </c>
    </row>
    <row r="69" spans="16:19" x14ac:dyDescent="0.3">
      <c r="P69" s="19">
        <v>44687</v>
      </c>
      <c r="Q69">
        <v>408.09999999999997</v>
      </c>
      <c r="R69">
        <v>385</v>
      </c>
      <c r="S69">
        <v>23.099999999999966</v>
      </c>
    </row>
    <row r="70" spans="16:19" x14ac:dyDescent="0.3">
      <c r="P70" s="19">
        <v>44688</v>
      </c>
      <c r="Q70">
        <v>120</v>
      </c>
      <c r="R70">
        <v>96</v>
      </c>
      <c r="S70">
        <v>24</v>
      </c>
    </row>
    <row r="71" spans="16:19" x14ac:dyDescent="0.3">
      <c r="P71" s="19">
        <v>44689</v>
      </c>
      <c r="Q71">
        <v>990.99</v>
      </c>
      <c r="R71">
        <v>847</v>
      </c>
      <c r="S71">
        <v>143.99</v>
      </c>
    </row>
    <row r="72" spans="16:19" x14ac:dyDescent="0.3">
      <c r="P72" s="19">
        <v>44690</v>
      </c>
      <c r="Q72">
        <v>1881.3600000000001</v>
      </c>
      <c r="R72">
        <v>1608</v>
      </c>
      <c r="S72">
        <v>273.36000000000013</v>
      </c>
    </row>
    <row r="73" spans="16:19" x14ac:dyDescent="0.3">
      <c r="P73" s="19">
        <v>44691</v>
      </c>
      <c r="Q73">
        <v>47.16</v>
      </c>
      <c r="R73">
        <v>36</v>
      </c>
      <c r="S73">
        <v>11.159999999999997</v>
      </c>
    </row>
    <row r="74" spans="16:19" x14ac:dyDescent="0.3">
      <c r="P74" s="19">
        <v>44693</v>
      </c>
      <c r="Q74">
        <v>338.8</v>
      </c>
      <c r="R74">
        <v>308</v>
      </c>
      <c r="S74">
        <v>30.800000000000011</v>
      </c>
    </row>
    <row r="75" spans="16:19" x14ac:dyDescent="0.3">
      <c r="P75" s="19">
        <v>44694</v>
      </c>
      <c r="Q75">
        <v>470.85</v>
      </c>
      <c r="R75">
        <v>365</v>
      </c>
      <c r="S75">
        <v>105.85000000000002</v>
      </c>
    </row>
    <row r="76" spans="16:19" x14ac:dyDescent="0.3">
      <c r="P76" s="19">
        <v>44695</v>
      </c>
      <c r="Q76">
        <v>1324.68</v>
      </c>
      <c r="R76">
        <v>1162</v>
      </c>
      <c r="S76">
        <v>162.68000000000006</v>
      </c>
    </row>
    <row r="77" spans="16:19" x14ac:dyDescent="0.3">
      <c r="P77" s="19">
        <v>44696</v>
      </c>
      <c r="Q77">
        <v>381.25</v>
      </c>
      <c r="R77">
        <v>305</v>
      </c>
      <c r="S77">
        <v>76.25</v>
      </c>
    </row>
    <row r="78" spans="16:19" x14ac:dyDescent="0.3">
      <c r="P78" s="19">
        <v>44697</v>
      </c>
      <c r="Q78">
        <v>3489.72</v>
      </c>
      <c r="R78">
        <v>3133</v>
      </c>
      <c r="S78">
        <v>356.7199999999998</v>
      </c>
    </row>
    <row r="79" spans="16:19" x14ac:dyDescent="0.3">
      <c r="P79" s="19">
        <v>44698</v>
      </c>
      <c r="Q79">
        <v>456.96000000000004</v>
      </c>
      <c r="R79">
        <v>384</v>
      </c>
      <c r="S79">
        <v>72.960000000000036</v>
      </c>
    </row>
    <row r="80" spans="16:19" x14ac:dyDescent="0.3">
      <c r="P80" s="19">
        <v>44699</v>
      </c>
      <c r="Q80">
        <v>867.84</v>
      </c>
      <c r="R80">
        <v>768</v>
      </c>
      <c r="S80">
        <v>99.840000000000032</v>
      </c>
    </row>
    <row r="81" spans="16:19" x14ac:dyDescent="0.3">
      <c r="P81" s="19">
        <v>44701</v>
      </c>
      <c r="Q81">
        <v>1231.2</v>
      </c>
      <c r="R81">
        <v>1140</v>
      </c>
      <c r="S81">
        <v>91.200000000000045</v>
      </c>
    </row>
    <row r="82" spans="16:19" x14ac:dyDescent="0.3">
      <c r="P82" s="19">
        <v>44703</v>
      </c>
      <c r="Q82">
        <v>188.64</v>
      </c>
      <c r="R82">
        <v>144</v>
      </c>
      <c r="S82">
        <v>44.639999999999986</v>
      </c>
    </row>
    <row r="83" spans="16:19" x14ac:dyDescent="0.3">
      <c r="P83" s="19">
        <v>44706</v>
      </c>
      <c r="Q83">
        <v>999.60000000000014</v>
      </c>
      <c r="R83">
        <v>735</v>
      </c>
      <c r="S83">
        <v>264.60000000000014</v>
      </c>
    </row>
    <row r="84" spans="16:19" x14ac:dyDescent="0.3">
      <c r="P84" s="19">
        <v>44707</v>
      </c>
      <c r="Q84">
        <v>197.86</v>
      </c>
      <c r="R84">
        <v>170</v>
      </c>
      <c r="S84">
        <v>27.860000000000014</v>
      </c>
    </row>
    <row r="85" spans="16:19" x14ac:dyDescent="0.3">
      <c r="P85" s="19">
        <v>44709</v>
      </c>
      <c r="Q85">
        <v>5344</v>
      </c>
      <c r="R85">
        <v>4509</v>
      </c>
      <c r="S85">
        <v>835</v>
      </c>
    </row>
    <row r="86" spans="16:19" x14ac:dyDescent="0.3">
      <c r="P86" s="19">
        <v>44711</v>
      </c>
      <c r="Q86">
        <v>1720.2600000000002</v>
      </c>
      <c r="R86">
        <v>1501</v>
      </c>
      <c r="S86">
        <v>219.2600000000001</v>
      </c>
    </row>
    <row r="87" spans="16:19" x14ac:dyDescent="0.3">
      <c r="P87" s="19">
        <v>44715</v>
      </c>
      <c r="Q87">
        <v>1324.68</v>
      </c>
      <c r="R87">
        <v>1162</v>
      </c>
      <c r="S87">
        <v>162.68000000000006</v>
      </c>
    </row>
    <row r="88" spans="16:19" x14ac:dyDescent="0.3">
      <c r="P88" s="19">
        <v>44722</v>
      </c>
      <c r="Q88">
        <v>334.48</v>
      </c>
      <c r="R88">
        <v>296</v>
      </c>
      <c r="S88">
        <v>38.480000000000018</v>
      </c>
    </row>
    <row r="89" spans="16:19" x14ac:dyDescent="0.3">
      <c r="P89" s="19">
        <v>44723</v>
      </c>
      <c r="Q89">
        <v>1528.3899999999999</v>
      </c>
      <c r="R89">
        <v>1237</v>
      </c>
      <c r="S89">
        <v>291.39</v>
      </c>
    </row>
    <row r="90" spans="16:19" x14ac:dyDescent="0.3">
      <c r="P90" s="19">
        <v>44725</v>
      </c>
      <c r="Q90">
        <v>147.96</v>
      </c>
      <c r="R90">
        <v>108</v>
      </c>
      <c r="S90">
        <v>39.960000000000008</v>
      </c>
    </row>
    <row r="91" spans="16:19" x14ac:dyDescent="0.3">
      <c r="P91" s="19">
        <v>44727</v>
      </c>
      <c r="Q91">
        <v>2430</v>
      </c>
      <c r="R91">
        <v>1800</v>
      </c>
      <c r="S91">
        <v>630</v>
      </c>
    </row>
    <row r="92" spans="16:19" x14ac:dyDescent="0.3">
      <c r="P92" s="19">
        <v>44728</v>
      </c>
      <c r="Q92">
        <v>796.65</v>
      </c>
      <c r="R92">
        <v>705</v>
      </c>
      <c r="S92">
        <v>91.649999999999977</v>
      </c>
    </row>
    <row r="93" spans="16:19" x14ac:dyDescent="0.3">
      <c r="P93" s="19">
        <v>44731</v>
      </c>
      <c r="Q93">
        <v>1142.4000000000001</v>
      </c>
      <c r="R93">
        <v>840</v>
      </c>
      <c r="S93">
        <v>302.40000000000009</v>
      </c>
    </row>
    <row r="94" spans="16:19" x14ac:dyDescent="0.3">
      <c r="P94" s="19">
        <v>44733</v>
      </c>
      <c r="Q94">
        <v>2194.92</v>
      </c>
      <c r="R94">
        <v>1876</v>
      </c>
      <c r="S94">
        <v>318.92000000000007</v>
      </c>
    </row>
    <row r="95" spans="16:19" x14ac:dyDescent="0.3">
      <c r="P95" s="19">
        <v>44734</v>
      </c>
      <c r="Q95">
        <v>1567.52</v>
      </c>
      <c r="R95">
        <v>1292</v>
      </c>
      <c r="S95">
        <v>275.52</v>
      </c>
    </row>
    <row r="96" spans="16:19" x14ac:dyDescent="0.3">
      <c r="P96" s="19">
        <v>44735</v>
      </c>
      <c r="Q96">
        <v>390.72</v>
      </c>
      <c r="R96">
        <v>352</v>
      </c>
      <c r="S96">
        <v>38.720000000000027</v>
      </c>
    </row>
    <row r="97" spans="16:19" x14ac:dyDescent="0.3">
      <c r="P97" s="19">
        <v>44736</v>
      </c>
      <c r="Q97">
        <v>344.47</v>
      </c>
      <c r="R97">
        <v>259</v>
      </c>
      <c r="S97">
        <v>85.470000000000027</v>
      </c>
    </row>
    <row r="98" spans="16:19" x14ac:dyDescent="0.3">
      <c r="P98" s="19">
        <v>44737</v>
      </c>
      <c r="Q98">
        <v>659.19</v>
      </c>
      <c r="R98">
        <v>511</v>
      </c>
      <c r="S98">
        <v>148.19000000000005</v>
      </c>
    </row>
    <row r="99" spans="16:19" x14ac:dyDescent="0.3">
      <c r="P99" s="19">
        <v>44738</v>
      </c>
      <c r="Q99">
        <v>1230.1600000000001</v>
      </c>
      <c r="R99">
        <v>1024</v>
      </c>
      <c r="S99">
        <v>206.16000000000003</v>
      </c>
    </row>
    <row r="100" spans="16:19" x14ac:dyDescent="0.3">
      <c r="P100" s="19">
        <v>44745</v>
      </c>
      <c r="Q100">
        <v>1795.5</v>
      </c>
      <c r="R100">
        <v>1425</v>
      </c>
      <c r="S100">
        <v>370.5</v>
      </c>
    </row>
    <row r="101" spans="16:19" x14ac:dyDescent="0.3">
      <c r="P101" s="19">
        <v>44746</v>
      </c>
      <c r="Q101">
        <v>334.11</v>
      </c>
      <c r="R101">
        <v>301</v>
      </c>
      <c r="S101">
        <v>33.110000000000014</v>
      </c>
    </row>
    <row r="102" spans="16:19" x14ac:dyDescent="0.3">
      <c r="P102" s="19">
        <v>44747</v>
      </c>
      <c r="Q102">
        <v>184.07</v>
      </c>
      <c r="R102">
        <v>145</v>
      </c>
      <c r="S102">
        <v>39.069999999999993</v>
      </c>
    </row>
    <row r="103" spans="16:19" x14ac:dyDescent="0.3">
      <c r="P103" s="19">
        <v>44748</v>
      </c>
      <c r="Q103">
        <v>347.76</v>
      </c>
      <c r="R103">
        <v>276</v>
      </c>
      <c r="S103">
        <v>71.759999999999991</v>
      </c>
    </row>
    <row r="104" spans="16:19" x14ac:dyDescent="0.3">
      <c r="P104" s="19">
        <v>44750</v>
      </c>
      <c r="Q104">
        <v>98.42</v>
      </c>
      <c r="R104">
        <v>74</v>
      </c>
      <c r="S104">
        <v>24.42</v>
      </c>
    </row>
    <row r="105" spans="16:19" x14ac:dyDescent="0.3">
      <c r="P105" s="19">
        <v>44752</v>
      </c>
      <c r="Q105">
        <v>1409.76</v>
      </c>
      <c r="R105">
        <v>1068</v>
      </c>
      <c r="S105">
        <v>341.76</v>
      </c>
    </row>
    <row r="106" spans="16:19" x14ac:dyDescent="0.3">
      <c r="P106" s="19">
        <v>44754</v>
      </c>
      <c r="Q106">
        <v>501.72</v>
      </c>
      <c r="R106">
        <v>444</v>
      </c>
      <c r="S106">
        <v>57.720000000000027</v>
      </c>
    </row>
    <row r="107" spans="16:19" x14ac:dyDescent="0.3">
      <c r="P107" s="19">
        <v>44755</v>
      </c>
      <c r="Q107">
        <v>58.31</v>
      </c>
      <c r="R107">
        <v>49</v>
      </c>
      <c r="S107">
        <v>9.3100000000000023</v>
      </c>
    </row>
    <row r="108" spans="16:19" x14ac:dyDescent="0.3">
      <c r="P108" s="19">
        <v>44756</v>
      </c>
      <c r="Q108">
        <v>1077.3</v>
      </c>
      <c r="R108">
        <v>855</v>
      </c>
      <c r="S108">
        <v>222.29999999999995</v>
      </c>
    </row>
    <row r="109" spans="16:19" x14ac:dyDescent="0.3">
      <c r="P109" s="19">
        <v>44757</v>
      </c>
      <c r="Q109">
        <v>97.68</v>
      </c>
      <c r="R109">
        <v>88</v>
      </c>
      <c r="S109">
        <v>9.6800000000000068</v>
      </c>
    </row>
    <row r="110" spans="16:19" x14ac:dyDescent="0.3">
      <c r="P110" s="19">
        <v>44759</v>
      </c>
      <c r="Q110">
        <v>1391.04</v>
      </c>
      <c r="R110">
        <v>1104</v>
      </c>
      <c r="S110">
        <v>287.03999999999996</v>
      </c>
    </row>
    <row r="111" spans="16:19" x14ac:dyDescent="0.3">
      <c r="P111" s="19">
        <v>44760</v>
      </c>
      <c r="Q111">
        <v>1971.3600000000001</v>
      </c>
      <c r="R111">
        <v>1776</v>
      </c>
      <c r="S111">
        <v>195.36000000000013</v>
      </c>
    </row>
    <row r="112" spans="16:19" x14ac:dyDescent="0.3">
      <c r="P112" s="19">
        <v>44762</v>
      </c>
      <c r="Q112">
        <v>1296</v>
      </c>
      <c r="R112">
        <v>960</v>
      </c>
      <c r="S112">
        <v>336</v>
      </c>
    </row>
    <row r="113" spans="16:19" x14ac:dyDescent="0.3">
      <c r="P113" s="19">
        <v>44764</v>
      </c>
      <c r="Q113">
        <v>349.79999999999995</v>
      </c>
      <c r="R113">
        <v>330</v>
      </c>
      <c r="S113">
        <v>19.799999999999955</v>
      </c>
    </row>
    <row r="114" spans="16:19" x14ac:dyDescent="0.3">
      <c r="P114" s="19">
        <v>44765</v>
      </c>
      <c r="Q114">
        <v>98.42</v>
      </c>
      <c r="R114">
        <v>74</v>
      </c>
      <c r="S114">
        <v>24.42</v>
      </c>
    </row>
    <row r="115" spans="16:19" x14ac:dyDescent="0.3">
      <c r="P115" s="19">
        <v>44766</v>
      </c>
      <c r="Q115">
        <v>1254.1199999999999</v>
      </c>
      <c r="R115">
        <v>1098</v>
      </c>
      <c r="S115">
        <v>156.12</v>
      </c>
    </row>
    <row r="116" spans="16:19" x14ac:dyDescent="0.3">
      <c r="P116" s="19">
        <v>44767</v>
      </c>
      <c r="Q116">
        <v>3097.74</v>
      </c>
      <c r="R116">
        <v>2683</v>
      </c>
      <c r="S116">
        <v>414.74000000000012</v>
      </c>
    </row>
    <row r="117" spans="16:19" x14ac:dyDescent="0.3">
      <c r="P117" s="19">
        <v>44768</v>
      </c>
      <c r="Q117">
        <v>834.06</v>
      </c>
      <c r="R117">
        <v>728</v>
      </c>
      <c r="S117">
        <v>106.05999999999997</v>
      </c>
    </row>
    <row r="118" spans="16:19" x14ac:dyDescent="0.3">
      <c r="P118" s="19">
        <v>44776</v>
      </c>
      <c r="Q118">
        <v>470.85</v>
      </c>
      <c r="R118">
        <v>365</v>
      </c>
      <c r="S118">
        <v>105.85000000000002</v>
      </c>
    </row>
    <row r="119" spans="16:19" x14ac:dyDescent="0.3">
      <c r="P119" s="19">
        <v>44779</v>
      </c>
      <c r="Q119">
        <v>149.76</v>
      </c>
      <c r="R119">
        <v>117</v>
      </c>
      <c r="S119">
        <v>32.759999999999991</v>
      </c>
    </row>
    <row r="120" spans="16:19" x14ac:dyDescent="0.3">
      <c r="P120" s="19">
        <v>44781</v>
      </c>
      <c r="Q120">
        <v>3230.98</v>
      </c>
      <c r="R120">
        <v>2480</v>
      </c>
      <c r="S120">
        <v>750.97999999999979</v>
      </c>
    </row>
    <row r="121" spans="16:19" x14ac:dyDescent="0.3">
      <c r="P121" s="19">
        <v>44787</v>
      </c>
      <c r="Q121">
        <v>2817.92</v>
      </c>
      <c r="R121">
        <v>2072</v>
      </c>
      <c r="S121">
        <v>745.92000000000007</v>
      </c>
    </row>
    <row r="122" spans="16:19" x14ac:dyDescent="0.3">
      <c r="P122" s="19">
        <v>44788</v>
      </c>
      <c r="Q122">
        <v>594.04</v>
      </c>
      <c r="R122">
        <v>524</v>
      </c>
      <c r="S122">
        <v>70.039999999999992</v>
      </c>
    </row>
    <row r="123" spans="16:19" x14ac:dyDescent="0.3">
      <c r="P123" s="19">
        <v>44791</v>
      </c>
      <c r="Q123">
        <v>753.44</v>
      </c>
      <c r="R123">
        <v>672</v>
      </c>
      <c r="S123">
        <v>81.44</v>
      </c>
    </row>
    <row r="124" spans="16:19" x14ac:dyDescent="0.3">
      <c r="P124" s="19">
        <v>44792</v>
      </c>
      <c r="Q124">
        <v>143.19</v>
      </c>
      <c r="R124">
        <v>129</v>
      </c>
      <c r="S124">
        <v>14.189999999999998</v>
      </c>
    </row>
    <row r="125" spans="16:19" x14ac:dyDescent="0.3">
      <c r="P125" s="19">
        <v>44793</v>
      </c>
      <c r="Q125">
        <v>3618.7799999999997</v>
      </c>
      <c r="R125">
        <v>3163</v>
      </c>
      <c r="S125">
        <v>455.78</v>
      </c>
    </row>
    <row r="126" spans="16:19" x14ac:dyDescent="0.3">
      <c r="P126" s="19">
        <v>44794</v>
      </c>
      <c r="Q126">
        <v>66.56</v>
      </c>
      <c r="R126">
        <v>52</v>
      </c>
      <c r="S126">
        <v>14.560000000000002</v>
      </c>
    </row>
    <row r="127" spans="16:19" x14ac:dyDescent="0.3">
      <c r="P127" s="19">
        <v>44796</v>
      </c>
      <c r="Q127">
        <v>1646.42</v>
      </c>
      <c r="R127">
        <v>1494</v>
      </c>
      <c r="S127">
        <v>152.41999999999996</v>
      </c>
    </row>
    <row r="128" spans="16:19" x14ac:dyDescent="0.3">
      <c r="P128" s="19">
        <v>44797</v>
      </c>
      <c r="Q128">
        <v>778.05000000000007</v>
      </c>
      <c r="R128">
        <v>665</v>
      </c>
      <c r="S128">
        <v>113.05000000000007</v>
      </c>
    </row>
    <row r="129" spans="16:19" x14ac:dyDescent="0.3">
      <c r="P129" s="19">
        <v>44799</v>
      </c>
      <c r="Q129">
        <v>3416.08</v>
      </c>
      <c r="R129">
        <v>2486</v>
      </c>
      <c r="S129">
        <v>930.08</v>
      </c>
    </row>
    <row r="130" spans="16:19" x14ac:dyDescent="0.3">
      <c r="P130" s="19">
        <v>44800</v>
      </c>
      <c r="Q130">
        <v>638.25</v>
      </c>
      <c r="R130">
        <v>555</v>
      </c>
      <c r="S130">
        <v>83.25</v>
      </c>
    </row>
    <row r="131" spans="16:19" x14ac:dyDescent="0.3">
      <c r="P131" s="19">
        <v>44801</v>
      </c>
      <c r="Q131">
        <v>1613.2400000000002</v>
      </c>
      <c r="R131">
        <v>1382</v>
      </c>
      <c r="S131">
        <v>231.24000000000024</v>
      </c>
    </row>
    <row r="132" spans="16:19" x14ac:dyDescent="0.3">
      <c r="P132" s="19">
        <v>44803</v>
      </c>
      <c r="Q132">
        <v>1053.1300000000001</v>
      </c>
      <c r="R132">
        <v>887</v>
      </c>
      <c r="S132">
        <v>166.13000000000002</v>
      </c>
    </row>
    <row r="133" spans="16:19" x14ac:dyDescent="0.3">
      <c r="P133" s="19">
        <v>44804</v>
      </c>
      <c r="Q133">
        <v>204.35999999999999</v>
      </c>
      <c r="R133">
        <v>156</v>
      </c>
      <c r="S133">
        <v>48.359999999999985</v>
      </c>
    </row>
    <row r="134" spans="16:19" x14ac:dyDescent="0.3">
      <c r="P134" s="19">
        <v>44808</v>
      </c>
      <c r="Q134">
        <v>142.80000000000001</v>
      </c>
      <c r="R134">
        <v>105</v>
      </c>
      <c r="S134">
        <v>37.800000000000011</v>
      </c>
    </row>
    <row r="135" spans="16:19" x14ac:dyDescent="0.3">
      <c r="P135" s="19">
        <v>44810</v>
      </c>
      <c r="Q135">
        <v>1867.3200000000002</v>
      </c>
      <c r="R135">
        <v>1596</v>
      </c>
      <c r="S135">
        <v>271.32000000000016</v>
      </c>
    </row>
    <row r="136" spans="16:19" x14ac:dyDescent="0.3">
      <c r="P136" s="19">
        <v>44813</v>
      </c>
      <c r="Q136">
        <v>1807.74</v>
      </c>
      <c r="R136">
        <v>1455</v>
      </c>
      <c r="S136">
        <v>352.74000000000007</v>
      </c>
    </row>
    <row r="137" spans="16:19" x14ac:dyDescent="0.3">
      <c r="P137" s="19">
        <v>44814</v>
      </c>
      <c r="Q137">
        <v>420.18</v>
      </c>
      <c r="R137">
        <v>363</v>
      </c>
      <c r="S137">
        <v>57.180000000000007</v>
      </c>
    </row>
    <row r="138" spans="16:19" x14ac:dyDescent="0.3">
      <c r="P138" s="19">
        <v>44818</v>
      </c>
      <c r="Q138">
        <v>159.32999999999998</v>
      </c>
      <c r="R138">
        <v>141</v>
      </c>
      <c r="S138">
        <v>18.329999999999984</v>
      </c>
    </row>
    <row r="139" spans="16:19" x14ac:dyDescent="0.3">
      <c r="P139" s="19">
        <v>44819</v>
      </c>
      <c r="Q139">
        <v>1286.4000000000001</v>
      </c>
      <c r="R139">
        <v>1005</v>
      </c>
      <c r="S139">
        <v>281.40000000000009</v>
      </c>
    </row>
    <row r="140" spans="16:19" x14ac:dyDescent="0.3">
      <c r="P140" s="19">
        <v>44822</v>
      </c>
      <c r="Q140">
        <v>345.24</v>
      </c>
      <c r="R140">
        <v>252</v>
      </c>
      <c r="S140">
        <v>93.240000000000009</v>
      </c>
    </row>
    <row r="141" spans="16:19" x14ac:dyDescent="0.3">
      <c r="P141" s="19">
        <v>44823</v>
      </c>
      <c r="Q141">
        <v>957.6</v>
      </c>
      <c r="R141">
        <v>760</v>
      </c>
      <c r="S141">
        <v>197.60000000000002</v>
      </c>
    </row>
    <row r="142" spans="16:19" x14ac:dyDescent="0.3">
      <c r="P142" s="19">
        <v>44824</v>
      </c>
      <c r="Q142">
        <v>1757</v>
      </c>
      <c r="R142">
        <v>1550</v>
      </c>
      <c r="S142">
        <v>207</v>
      </c>
    </row>
    <row r="143" spans="16:19" x14ac:dyDescent="0.3">
      <c r="P143" s="19">
        <v>44825</v>
      </c>
      <c r="Q143">
        <v>812.24</v>
      </c>
      <c r="R143">
        <v>608</v>
      </c>
      <c r="S143">
        <v>204.24000000000007</v>
      </c>
    </row>
    <row r="144" spans="16:19" x14ac:dyDescent="0.3">
      <c r="P144" s="19">
        <v>44826</v>
      </c>
      <c r="Q144">
        <v>996.96</v>
      </c>
      <c r="R144">
        <v>804</v>
      </c>
      <c r="S144">
        <v>192.96000000000004</v>
      </c>
    </row>
    <row r="145" spans="16:19" x14ac:dyDescent="0.3">
      <c r="P145" s="19">
        <v>44827</v>
      </c>
      <c r="Q145">
        <v>1130.04</v>
      </c>
      <c r="R145">
        <v>876</v>
      </c>
      <c r="S145">
        <v>254.03999999999996</v>
      </c>
    </row>
    <row r="146" spans="16:19" x14ac:dyDescent="0.3">
      <c r="P146" s="19">
        <v>44828</v>
      </c>
      <c r="Q146">
        <v>2584.56</v>
      </c>
      <c r="R146">
        <v>1958</v>
      </c>
      <c r="S146">
        <v>626.56000000000006</v>
      </c>
    </row>
    <row r="147" spans="16:19" x14ac:dyDescent="0.3">
      <c r="P147" s="19">
        <v>44831</v>
      </c>
      <c r="Q147">
        <v>1363.68</v>
      </c>
      <c r="R147">
        <v>1260</v>
      </c>
      <c r="S147">
        <v>103.68</v>
      </c>
    </row>
    <row r="148" spans="16:19" x14ac:dyDescent="0.3">
      <c r="P148" s="19">
        <v>44833</v>
      </c>
      <c r="Q148">
        <v>757.9</v>
      </c>
      <c r="R148">
        <v>715</v>
      </c>
      <c r="S148">
        <v>42.899999999999977</v>
      </c>
    </row>
    <row r="149" spans="16:19" x14ac:dyDescent="0.3">
      <c r="P149" s="19">
        <v>44837</v>
      </c>
      <c r="Q149">
        <v>242</v>
      </c>
      <c r="R149">
        <v>220</v>
      </c>
      <c r="S149">
        <v>22</v>
      </c>
    </row>
    <row r="150" spans="16:19" x14ac:dyDescent="0.3">
      <c r="P150" s="19">
        <v>44838</v>
      </c>
      <c r="Q150">
        <v>715.95</v>
      </c>
      <c r="R150">
        <v>645</v>
      </c>
      <c r="S150">
        <v>70.950000000000045</v>
      </c>
    </row>
    <row r="151" spans="16:19" x14ac:dyDescent="0.3">
      <c r="P151" s="19">
        <v>44840</v>
      </c>
      <c r="Q151">
        <v>6.7</v>
      </c>
      <c r="R151">
        <v>5</v>
      </c>
      <c r="S151">
        <v>1.7000000000000002</v>
      </c>
    </row>
    <row r="152" spans="16:19" x14ac:dyDescent="0.3">
      <c r="P152" s="19">
        <v>44843</v>
      </c>
      <c r="Q152">
        <v>1118.8800000000001</v>
      </c>
      <c r="R152">
        <v>1008</v>
      </c>
      <c r="S152">
        <v>110.88000000000011</v>
      </c>
    </row>
    <row r="153" spans="16:19" x14ac:dyDescent="0.3">
      <c r="P153" s="19">
        <v>44844</v>
      </c>
      <c r="Q153">
        <v>2874.96</v>
      </c>
      <c r="R153">
        <v>2262</v>
      </c>
      <c r="S153">
        <v>612.96</v>
      </c>
    </row>
    <row r="154" spans="16:19" x14ac:dyDescent="0.3">
      <c r="P154" s="19">
        <v>44845</v>
      </c>
      <c r="Q154">
        <v>946.2</v>
      </c>
      <c r="R154">
        <v>830</v>
      </c>
      <c r="S154">
        <v>116.20000000000005</v>
      </c>
    </row>
    <row r="155" spans="16:19" x14ac:dyDescent="0.3">
      <c r="P155" s="19">
        <v>44847</v>
      </c>
      <c r="Q155">
        <v>2142</v>
      </c>
      <c r="R155">
        <v>1575</v>
      </c>
      <c r="S155">
        <v>567</v>
      </c>
    </row>
    <row r="156" spans="16:19" x14ac:dyDescent="0.3">
      <c r="P156" s="19">
        <v>44848</v>
      </c>
      <c r="Q156">
        <v>1231.2</v>
      </c>
      <c r="R156">
        <v>1140</v>
      </c>
      <c r="S156">
        <v>91.200000000000045</v>
      </c>
    </row>
    <row r="157" spans="16:19" x14ac:dyDescent="0.3">
      <c r="P157" s="19">
        <v>44849</v>
      </c>
      <c r="Q157">
        <v>157.19999999999999</v>
      </c>
      <c r="R157">
        <v>120</v>
      </c>
      <c r="S157">
        <v>37.199999999999989</v>
      </c>
    </row>
    <row r="158" spans="16:19" x14ac:dyDescent="0.3">
      <c r="P158" s="19">
        <v>44850</v>
      </c>
      <c r="Q158">
        <v>288.89999999999998</v>
      </c>
      <c r="R158">
        <v>270</v>
      </c>
      <c r="S158">
        <v>18.899999999999977</v>
      </c>
    </row>
    <row r="159" spans="16:19" x14ac:dyDescent="0.3">
      <c r="P159" s="19">
        <v>44857</v>
      </c>
      <c r="Q159">
        <v>2197.44</v>
      </c>
      <c r="R159">
        <v>2016</v>
      </c>
      <c r="S159">
        <v>181.44000000000005</v>
      </c>
    </row>
    <row r="160" spans="16:19" x14ac:dyDescent="0.3">
      <c r="P160" s="19">
        <v>44864</v>
      </c>
      <c r="Q160">
        <v>486</v>
      </c>
      <c r="R160">
        <v>360</v>
      </c>
      <c r="S160">
        <v>126</v>
      </c>
    </row>
    <row r="161" spans="16:19" x14ac:dyDescent="0.3">
      <c r="P161" s="19">
        <v>44865</v>
      </c>
      <c r="Q161">
        <v>639.36</v>
      </c>
      <c r="R161">
        <v>576</v>
      </c>
      <c r="S161">
        <v>63.360000000000014</v>
      </c>
    </row>
    <row r="162" spans="16:19" x14ac:dyDescent="0.3">
      <c r="P162" s="19">
        <v>44866</v>
      </c>
      <c r="Q162">
        <v>1412.55</v>
      </c>
      <c r="R162">
        <v>1095</v>
      </c>
      <c r="S162">
        <v>317.54999999999995</v>
      </c>
    </row>
    <row r="163" spans="16:19" x14ac:dyDescent="0.3">
      <c r="P163" s="19">
        <v>44867</v>
      </c>
      <c r="Q163">
        <v>3288.5</v>
      </c>
      <c r="R163">
        <v>2425</v>
      </c>
      <c r="S163">
        <v>863.49999999999977</v>
      </c>
    </row>
    <row r="164" spans="16:19" x14ac:dyDescent="0.3">
      <c r="P164" s="19">
        <v>44868</v>
      </c>
      <c r="Q164">
        <v>838.75</v>
      </c>
      <c r="R164">
        <v>671</v>
      </c>
      <c r="S164">
        <v>167.75</v>
      </c>
    </row>
    <row r="165" spans="16:19" x14ac:dyDescent="0.3">
      <c r="P165" s="19">
        <v>44869</v>
      </c>
      <c r="Q165">
        <v>946.2</v>
      </c>
      <c r="R165">
        <v>830</v>
      </c>
      <c r="S165">
        <v>116.20000000000005</v>
      </c>
    </row>
    <row r="166" spans="16:19" x14ac:dyDescent="0.3">
      <c r="P166" s="19">
        <v>44870</v>
      </c>
      <c r="Q166">
        <v>3150</v>
      </c>
      <c r="R166">
        <v>2250</v>
      </c>
      <c r="S166">
        <v>900</v>
      </c>
    </row>
    <row r="167" spans="16:19" x14ac:dyDescent="0.3">
      <c r="P167" s="19">
        <v>44871</v>
      </c>
      <c r="Q167">
        <v>3390.4</v>
      </c>
      <c r="R167">
        <v>2587</v>
      </c>
      <c r="S167">
        <v>803.4</v>
      </c>
    </row>
    <row r="168" spans="16:19" x14ac:dyDescent="0.3">
      <c r="P168" s="19">
        <v>44872</v>
      </c>
      <c r="Q168">
        <v>1497.6000000000001</v>
      </c>
      <c r="R168">
        <v>1170</v>
      </c>
      <c r="S168">
        <v>327.60000000000014</v>
      </c>
    </row>
    <row r="169" spans="16:19" x14ac:dyDescent="0.3">
      <c r="P169" s="19">
        <v>44873</v>
      </c>
      <c r="Q169">
        <v>3159.3</v>
      </c>
      <c r="R169">
        <v>2490</v>
      </c>
      <c r="S169">
        <v>669.3</v>
      </c>
    </row>
    <row r="170" spans="16:19" x14ac:dyDescent="0.3">
      <c r="P170" s="19">
        <v>44874</v>
      </c>
      <c r="Q170">
        <v>456.96000000000004</v>
      </c>
      <c r="R170">
        <v>384</v>
      </c>
      <c r="S170">
        <v>72.960000000000036</v>
      </c>
    </row>
    <row r="171" spans="16:19" x14ac:dyDescent="0.3">
      <c r="P171" s="19">
        <v>44875</v>
      </c>
      <c r="Q171">
        <v>344.47</v>
      </c>
      <c r="R171">
        <v>259</v>
      </c>
      <c r="S171">
        <v>85.470000000000027</v>
      </c>
    </row>
    <row r="172" spans="16:19" x14ac:dyDescent="0.3">
      <c r="P172" s="19">
        <v>44878</v>
      </c>
      <c r="Q172">
        <v>571.20000000000005</v>
      </c>
      <c r="R172">
        <v>480</v>
      </c>
      <c r="S172">
        <v>91.200000000000045</v>
      </c>
    </row>
    <row r="173" spans="16:19" x14ac:dyDescent="0.3">
      <c r="P173" s="19">
        <v>44879</v>
      </c>
      <c r="Q173">
        <v>142.80000000000001</v>
      </c>
      <c r="R173">
        <v>105</v>
      </c>
      <c r="S173">
        <v>37.800000000000011</v>
      </c>
    </row>
    <row r="174" spans="16:19" x14ac:dyDescent="0.3">
      <c r="P174" s="19">
        <v>44880</v>
      </c>
      <c r="Q174">
        <v>1318.38</v>
      </c>
      <c r="R174">
        <v>1022</v>
      </c>
      <c r="S174">
        <v>296.38000000000011</v>
      </c>
    </row>
    <row r="175" spans="16:19" x14ac:dyDescent="0.3">
      <c r="P175" s="19">
        <v>44881</v>
      </c>
      <c r="Q175">
        <v>1254.24</v>
      </c>
      <c r="R175">
        <v>1072</v>
      </c>
      <c r="S175">
        <v>182.24</v>
      </c>
    </row>
    <row r="176" spans="16:19" x14ac:dyDescent="0.3">
      <c r="P176" s="19">
        <v>44883</v>
      </c>
      <c r="Q176">
        <v>466.4</v>
      </c>
      <c r="R176">
        <v>440</v>
      </c>
      <c r="S176">
        <v>26.399999999999977</v>
      </c>
    </row>
    <row r="177" spans="16:19" x14ac:dyDescent="0.3">
      <c r="P177" s="19">
        <v>44886</v>
      </c>
      <c r="Q177">
        <v>457.5</v>
      </c>
      <c r="R177">
        <v>366</v>
      </c>
      <c r="S177">
        <v>91.5</v>
      </c>
    </row>
    <row r="178" spans="16:19" x14ac:dyDescent="0.3">
      <c r="P178" s="19">
        <v>44888</v>
      </c>
      <c r="Q178">
        <v>1155.5999999999999</v>
      </c>
      <c r="R178">
        <v>1080</v>
      </c>
      <c r="S178">
        <v>75.599999999999909</v>
      </c>
    </row>
    <row r="179" spans="16:19" x14ac:dyDescent="0.3">
      <c r="P179" s="19">
        <v>44890</v>
      </c>
      <c r="Q179">
        <v>244.20000000000002</v>
      </c>
      <c r="R179">
        <v>220</v>
      </c>
      <c r="S179">
        <v>24.200000000000017</v>
      </c>
    </row>
    <row r="180" spans="16:19" x14ac:dyDescent="0.3">
      <c r="P180" s="19">
        <v>44891</v>
      </c>
      <c r="Q180">
        <v>587.4</v>
      </c>
      <c r="R180">
        <v>445</v>
      </c>
      <c r="S180">
        <v>142.39999999999998</v>
      </c>
    </row>
    <row r="181" spans="16:19" x14ac:dyDescent="0.3">
      <c r="P181" s="19">
        <v>44892</v>
      </c>
      <c r="Q181">
        <v>874.5</v>
      </c>
      <c r="R181">
        <v>825</v>
      </c>
      <c r="S181">
        <v>49.5</v>
      </c>
    </row>
    <row r="182" spans="16:19" x14ac:dyDescent="0.3">
      <c r="P182" s="19">
        <v>44893</v>
      </c>
      <c r="Q182">
        <v>833.28</v>
      </c>
      <c r="R182">
        <v>744</v>
      </c>
      <c r="S182">
        <v>89.279999999999973</v>
      </c>
    </row>
    <row r="183" spans="16:19" x14ac:dyDescent="0.3">
      <c r="P183" s="19">
        <v>44895</v>
      </c>
      <c r="Q183">
        <v>31.439999999999998</v>
      </c>
      <c r="R183">
        <v>24</v>
      </c>
      <c r="S183">
        <v>7.4399999999999977</v>
      </c>
    </row>
    <row r="184" spans="16:19" x14ac:dyDescent="0.3">
      <c r="P184" s="19">
        <v>44898</v>
      </c>
      <c r="Q184">
        <v>209.05</v>
      </c>
      <c r="R184">
        <v>185</v>
      </c>
      <c r="S184">
        <v>24.050000000000011</v>
      </c>
    </row>
    <row r="185" spans="16:19" x14ac:dyDescent="0.3">
      <c r="P185" s="19">
        <v>44899</v>
      </c>
      <c r="Q185">
        <v>1477.8</v>
      </c>
      <c r="R185">
        <v>1320</v>
      </c>
      <c r="S185">
        <v>157.80000000000004</v>
      </c>
    </row>
    <row r="186" spans="16:19" x14ac:dyDescent="0.3">
      <c r="P186" s="19">
        <v>44902</v>
      </c>
      <c r="Q186">
        <v>1574.96</v>
      </c>
      <c r="R186">
        <v>1393</v>
      </c>
      <c r="S186">
        <v>181.95999999999998</v>
      </c>
    </row>
    <row r="187" spans="16:19" x14ac:dyDescent="0.3">
      <c r="P187" s="19">
        <v>44906</v>
      </c>
      <c r="Q187">
        <v>2851.52</v>
      </c>
      <c r="R187">
        <v>2368</v>
      </c>
      <c r="S187">
        <v>483.5200000000001</v>
      </c>
    </row>
    <row r="188" spans="16:19" x14ac:dyDescent="0.3">
      <c r="P188" s="19">
        <v>44907</v>
      </c>
      <c r="Q188">
        <v>3550.3199999999997</v>
      </c>
      <c r="R188">
        <v>2712</v>
      </c>
      <c r="S188">
        <v>838.31999999999994</v>
      </c>
    </row>
    <row r="189" spans="16:19" x14ac:dyDescent="0.3">
      <c r="P189" s="19">
        <v>44909</v>
      </c>
      <c r="Q189">
        <v>622.44000000000005</v>
      </c>
      <c r="R189">
        <v>532</v>
      </c>
      <c r="S189">
        <v>90.440000000000055</v>
      </c>
    </row>
    <row r="190" spans="16:19" x14ac:dyDescent="0.3">
      <c r="P190" s="19">
        <v>44910</v>
      </c>
      <c r="Q190">
        <v>102.17999999999999</v>
      </c>
      <c r="R190">
        <v>78</v>
      </c>
      <c r="S190">
        <v>24.179999999999993</v>
      </c>
    </row>
    <row r="191" spans="16:19" x14ac:dyDescent="0.3">
      <c r="P191" s="19">
        <v>44914</v>
      </c>
      <c r="Q191">
        <v>1338.62</v>
      </c>
      <c r="R191">
        <v>1214</v>
      </c>
      <c r="S191">
        <v>124.61999999999996</v>
      </c>
    </row>
    <row r="192" spans="16:19" x14ac:dyDescent="0.3">
      <c r="P192" s="19">
        <v>44916</v>
      </c>
      <c r="Q192">
        <v>855</v>
      </c>
      <c r="R192">
        <v>750</v>
      </c>
      <c r="S192">
        <v>105</v>
      </c>
    </row>
    <row r="193" spans="16:19" x14ac:dyDescent="0.3">
      <c r="P193" s="19">
        <v>44924</v>
      </c>
      <c r="Q193">
        <v>1581.3000000000002</v>
      </c>
      <c r="R193">
        <v>1365</v>
      </c>
      <c r="S193">
        <v>216.30000000000018</v>
      </c>
    </row>
    <row r="194" spans="16:19" x14ac:dyDescent="0.3">
      <c r="P194" s="19">
        <v>44925</v>
      </c>
      <c r="Q194">
        <v>2434.3199999999997</v>
      </c>
      <c r="R194">
        <v>1932</v>
      </c>
      <c r="S194">
        <v>502.31999999999971</v>
      </c>
    </row>
    <row r="195" spans="16:19" x14ac:dyDescent="0.3">
      <c r="P195" s="19">
        <v>44926</v>
      </c>
      <c r="Q195">
        <v>1872</v>
      </c>
      <c r="R195">
        <v>1536</v>
      </c>
      <c r="S195">
        <v>336.00000000000006</v>
      </c>
    </row>
    <row r="196" spans="16:19" x14ac:dyDescent="0.3">
      <c r="P196" s="19" t="s">
        <v>121</v>
      </c>
      <c r="Q196">
        <v>214127.59999999989</v>
      </c>
      <c r="R196">
        <v>175535</v>
      </c>
      <c r="S196">
        <v>38592.600000000028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DBE2F0-3722-4926-BBDA-C38708FD01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Dashboard</vt:lpstr>
      <vt:lpstr>Base_ventes</vt:lpstr>
      <vt:lpstr>Calcul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Blanchard</dc:creator>
  <cp:lastModifiedBy>Blanchard</cp:lastModifiedBy>
  <dcterms:created xsi:type="dcterms:W3CDTF">2023-06-17T20:14:19Z</dcterms:created>
  <dcterms:modified xsi:type="dcterms:W3CDTF">2023-06-25T21:26:18Z</dcterms:modified>
</cp:coreProperties>
</file>